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Fields" sheetId="2" state="visible" r:id="rId2"/>
    <sheet xmlns:r="http://schemas.openxmlformats.org/officeDocument/2006/relationships" name="Metric_Calcs" sheetId="3" state="visible" r:id="rId3"/>
    <sheet xmlns:r="http://schemas.openxmlformats.org/officeDocument/2006/relationships" name="Diagnostic_Output" sheetId="4" state="visible" r:id="rId4"/>
  </sheets>
  <definedNames>
    <definedName name="_xlnm._FilterDatabase" localSheetId="1" hidden="1">'Input_Fields'!$A$1:$G$77</definedName>
    <definedName name="_xlnm._FilterDatabase" localSheetId="2" hidden="1">'Metric_Calcs'!$A$1:$H$54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name val="Wix Madefor Display SemiBold"/>
      <b val="1"/>
      <color rgb="000F4761"/>
      <sz val="16"/>
    </font>
    <font>
      <name val="Wix Madefor Display"/>
      <color rgb="00888888"/>
      <sz val="9"/>
    </font>
    <font>
      <name val="Wix Madefor Display SemiBold"/>
      <b val="1"/>
      <color rgb="004280F4"/>
      <sz val="10"/>
    </font>
    <font>
      <name val="Wix Madefor Display"/>
      <color rgb="00000000"/>
      <sz val="9"/>
    </font>
    <font>
      <name val="Wix Madefor Display"/>
      <i val="1"/>
      <color rgb="007F3F00"/>
      <sz val="9"/>
    </font>
    <font>
      <name val="Wix Madefor Display SemiBold"/>
      <b val="1"/>
      <color rgb="000F4761"/>
      <sz val="9"/>
    </font>
    <font>
      <name val="Wix Madefor Display SemiBold"/>
      <b val="1"/>
      <color rgb="00FFFFFF"/>
      <sz val="9"/>
    </font>
    <font>
      <name val="Wix Madefor Display SemiBold"/>
      <b val="1"/>
      <color rgb="000F4761"/>
      <sz val="14"/>
    </font>
    <font>
      <name val="Wix Madefor Display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EBF2FA"/>
      </patternFill>
    </fill>
    <fill>
      <patternFill patternType="solid">
        <fgColor rgb="00F5F8FF"/>
      </patternFill>
    </fill>
    <fill>
      <patternFill patternType="solid">
        <fgColor rgb="00EAF5EA"/>
      </patternFill>
    </fill>
    <fill>
      <patternFill patternType="solid">
        <fgColor rgb="00FFFFFF"/>
      </patternFill>
    </fill>
    <fill>
      <patternFill patternType="solid">
        <fgColor rgb="001A6B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164" fontId="6" fillId="3" borderId="1" applyAlignment="1" pivotButton="0" quotePrefix="0" xfId="0">
      <alignment horizontal="left" vertical="top" wrapText="1"/>
    </xf>
    <xf numFmtId="165" fontId="4" fillId="4" borderId="1" applyAlignment="1" pivotButton="0" quotePrefix="0" xfId="0">
      <alignment horizontal="left" vertical="top" wrapText="1"/>
    </xf>
    <xf numFmtId="164" fontId="4" fillId="6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left" vertical="top" wrapText="1"/>
    </xf>
    <xf numFmtId="165" fontId="4" fillId="6" borderId="1" applyAlignment="1" pivotButton="0" quotePrefix="0" xfId="0">
      <alignment horizontal="left" vertical="top" wrapText="1"/>
    </xf>
    <xf numFmtId="165" fontId="6" fillId="3" borderId="1" applyAlignment="1" pivotButton="0" quotePrefix="0" xfId="0">
      <alignment horizontal="left" vertical="top" wrapText="1"/>
    </xf>
    <xf numFmtId="166" fontId="4" fillId="6" borderId="1" applyAlignment="1" pivotButton="0" quotePrefix="0" xfId="0">
      <alignment horizontal="left" vertical="top" wrapText="1"/>
    </xf>
    <xf numFmtId="166" fontId="4" fillId="4" borderId="1" applyAlignment="1" pivotButton="0" quotePrefix="0" xfId="0">
      <alignment horizontal="left" vertical="top" wrapText="1"/>
    </xf>
    <xf numFmtId="2" fontId="4" fillId="4" borderId="1" applyAlignment="1" pivotButton="0" quotePrefix="0" xfId="0">
      <alignment horizontal="left" vertical="top" wrapText="1"/>
    </xf>
    <xf numFmtId="2" fontId="4" fillId="6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BF2FA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90" customWidth="1" min="1" max="1"/>
    <col width="52" customWidth="1" min="2" max="2"/>
  </cols>
  <sheetData>
    <row r="1" ht="28" customHeight="1">
      <c r="A1" s="1" t="inlineStr">
        <is>
          <t>GTM Metrics Analyzer</t>
        </is>
      </c>
    </row>
    <row r="2" ht="18" customHeight="1">
      <c r="A2" s="2" t="inlineStr">
        <is>
          <t>Input Template + Metric Calculator  ·  B2B SaaS / GTM-Driven Businesses</t>
        </is>
      </c>
    </row>
    <row r="3" ht="8" customHeight="1"/>
    <row r="4" ht="20" customHeight="1">
      <c r="A4" s="3" t="inlineStr">
        <is>
          <t>Purpose</t>
        </is>
      </c>
    </row>
    <row r="5" ht="40" customHeight="1">
      <c r="A5" s="4" t="inlineStr">
        <is>
          <t>Use this workbook to load raw company data into Input_Fields, then review derived GTM metric calculations in Metric_Calcs, and surface a clean diagnostic summary in Diagnostic_Output. Supports all six GTM metric families: Growth Drivers, Sales Funnel, Retention, Efficiency &amp; Economics, Team &amp; Productivity, and Fiscal Maturity.</t>
        </is>
      </c>
    </row>
    <row r="6" ht="8" customHeight="1"/>
    <row r="7" ht="20" customHeight="1">
      <c r="A7" s="3" t="inlineStr">
        <is>
          <t>How to Use</t>
        </is>
      </c>
    </row>
    <row r="8" ht="30" customHeight="1">
      <c r="A8" s="4" t="inlineStr">
        <is>
          <t>1.  Input_Fields    →  Populate the User Value column (column F) with values from uploaded source files. Do not overwrite raw exports — add them as separate tabs if needed.</t>
        </is>
      </c>
    </row>
    <row r="9" ht="30" customHeight="1">
      <c r="A9" s="4" t="inlineStr">
        <is>
          <t>2.  Metric_Calcs    →  Review formulas, required inputs, and calculated values. Column G auto-calculates from Input_Fields.</t>
        </is>
      </c>
    </row>
    <row r="10" ht="30" customHeight="1">
      <c r="A10" s="4" t="inlineStr">
        <is>
          <t>3.  Diagnostic_Output  →  Clean summary of the 20 most decision-useful GTM metrics, pulled automatically from Metric_Calcs.</t>
        </is>
      </c>
    </row>
    <row r="11" ht="30" customHeight="1">
      <c r="A11" s="4" t="inlineStr">
        <is>
          <t>4.  Do not modify column B (Input Key) or column B of Metric_Calcs (Metric Key) — these are the XLOOKUP lookup arrays.</t>
        </is>
      </c>
    </row>
    <row r="12" ht="8" customHeight="1"/>
    <row r="13" ht="20" customHeight="1">
      <c r="A13" s="3" t="inlineStr">
        <is>
          <t>Requirements</t>
        </is>
      </c>
    </row>
    <row r="14" ht="28" customHeight="1">
      <c r="A14" s="5" t="inlineStr">
        <is>
          <t>⚠️  Requires Excel 365 or Excel 2021+. Formulas use XLOOKUP and FILTER, which are not available in older Excel versions or Google Sheets without modification.</t>
        </is>
      </c>
    </row>
    <row r="15" ht="8" customHeight="1"/>
    <row r="16" ht="20" customHeight="1">
      <c r="A16" s="3" t="inlineStr">
        <is>
          <t>Metric Families</t>
        </is>
      </c>
    </row>
    <row r="17" ht="18" customHeight="1">
      <c r="A17" s="6" t="inlineStr">
        <is>
          <t>Growth Drivers</t>
        </is>
      </c>
      <c r="B17" s="2" t="inlineStr">
        <is>
          <t>7 metrics  ·  Gross/Net New ARR, ARR Growth, Mix</t>
        </is>
      </c>
    </row>
    <row r="18" ht="18" customHeight="1">
      <c r="A18" s="6" t="inlineStr">
        <is>
          <t>Sales Funnel</t>
        </is>
      </c>
      <c r="B18" s="2" t="inlineStr">
        <is>
          <t>6 metrics  ·  Pipeline Coverage, Win Rate, Close Rate, Forecast</t>
        </is>
      </c>
    </row>
    <row r="19" ht="18" customHeight="1">
      <c r="A19" s="6" t="inlineStr">
        <is>
          <t>Retention</t>
        </is>
      </c>
      <c r="B19" s="2" t="inlineStr">
        <is>
          <t>10 metrics  ·  NDR, GDR, Logo Retention, Adoption, NPS, CSAT</t>
        </is>
      </c>
    </row>
    <row r="20" ht="18" customHeight="1">
      <c r="A20" s="6" t="inlineStr">
        <is>
          <t>Efficiency &amp; Economics</t>
        </is>
      </c>
      <c r="B20" s="2" t="inlineStr">
        <is>
          <t>9 metrics  ·  Gross Margin, Magic Number, CAC, LTV, Payback</t>
        </is>
      </c>
    </row>
    <row r="21" ht="18" customHeight="1">
      <c r="A21" s="6" t="inlineStr">
        <is>
          <t>Team &amp; Productivity</t>
        </is>
      </c>
      <c r="B21" s="2" t="inlineStr">
        <is>
          <t>10 metrics  ·  Sales Capacity, Attainment, Ramp Rate, FTE Productivity</t>
        </is>
      </c>
    </row>
    <row r="22" ht="18" customHeight="1">
      <c r="A22" s="6" t="inlineStr">
        <is>
          <t>Fiscal Maturity</t>
        </is>
      </c>
      <c r="B22" s="2" t="inlineStr">
        <is>
          <t>6 metrics  ·  Plan Attainment, YoY Growth, FCF, Beat vs Guidance</t>
        </is>
      </c>
    </row>
  </sheetData>
  <mergeCells count="8">
    <mergeCell ref="A2:B2"/>
    <mergeCell ref="A11:B11"/>
    <mergeCell ref="A10:B10"/>
    <mergeCell ref="A5:B5"/>
    <mergeCell ref="A14:B14"/>
    <mergeCell ref="A1:B1"/>
    <mergeCell ref="A9:B9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4761"/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4" customWidth="1" min="4" max="4"/>
    <col width="22" customWidth="1" min="5" max="5"/>
    <col width="18" customWidth="1" min="6" max="6"/>
    <col width="24" customWidth="1" min="7" max="7"/>
  </cols>
  <sheetData>
    <row r="1" ht="22" customHeight="1">
      <c r="A1" s="7" t="inlineStr">
        <is>
          <t>Section</t>
        </is>
      </c>
      <c r="B1" s="7" t="inlineStr">
        <is>
          <t>Input Key</t>
        </is>
      </c>
      <c r="C1" s="7" t="inlineStr">
        <is>
          <t>Input Label</t>
        </is>
      </c>
      <c r="D1" s="7" t="inlineStr">
        <is>
          <t>Definition / What to Upload</t>
        </is>
      </c>
      <c r="E1" s="7" t="inlineStr">
        <is>
          <t>Input Requirement</t>
        </is>
      </c>
      <c r="F1" s="8" t="inlineStr">
        <is>
          <t>User Value</t>
        </is>
      </c>
      <c r="G1" s="7" t="inlineStr">
        <is>
          <t>Notes</t>
        </is>
      </c>
    </row>
    <row r="2" ht="18" customHeight="1">
      <c r="A2" s="9" t="inlineStr">
        <is>
          <t>Company &amp; Reporting Context</t>
        </is>
      </c>
      <c r="B2" s="9" t="inlineStr">
        <is>
          <t>business_model</t>
        </is>
      </c>
      <c r="C2" s="9" t="inlineStr">
        <is>
          <t>Business Model</t>
        </is>
      </c>
      <c r="D2" s="9" t="inlineStr">
        <is>
          <t>e.g., B2B SaaS, usage-based SaaS, hybrid, PLG, SLG</t>
        </is>
      </c>
      <c r="E2" s="9" t="inlineStr">
        <is>
          <t>Required</t>
        </is>
      </c>
      <c r="F2" s="9" t="n"/>
    </row>
    <row r="3" ht="18" customHeight="1">
      <c r="A3" s="10" t="inlineStr">
        <is>
          <t>Company &amp; Reporting Context</t>
        </is>
      </c>
      <c r="B3" s="10" t="inlineStr">
        <is>
          <t>primary_revenue_metric</t>
        </is>
      </c>
      <c r="C3" s="10" t="inlineStr">
        <is>
          <t>Primary Revenue Metric</t>
        </is>
      </c>
      <c r="D3" s="10" t="inlineStr">
        <is>
          <t>ARR, MRR, CARR, bookings, billings, GAAP revenue</t>
        </is>
      </c>
      <c r="E3" s="10" t="inlineStr">
        <is>
          <t>Required</t>
        </is>
      </c>
      <c r="F3" s="11" t="n"/>
    </row>
    <row r="4" ht="18" customHeight="1">
      <c r="A4" s="12" t="inlineStr">
        <is>
          <t>Company &amp; Reporting Context</t>
        </is>
      </c>
      <c r="B4" s="12" t="inlineStr">
        <is>
          <t>reporting_cadence</t>
        </is>
      </c>
      <c r="C4" s="12" t="inlineStr">
        <is>
          <t>Reporting Cadence</t>
        </is>
      </c>
      <c r="D4" s="12" t="inlineStr">
        <is>
          <t>Monthly, quarterly, annual, or LTM</t>
        </is>
      </c>
      <c r="E4" s="12" t="inlineStr">
        <is>
          <t>Required</t>
        </is>
      </c>
      <c r="F4" s="11" t="n"/>
    </row>
    <row r="5" ht="18" customHeight="1">
      <c r="A5" s="10" t="inlineStr">
        <is>
          <t>Company &amp; Reporting Context</t>
        </is>
      </c>
      <c r="B5" s="10" t="inlineStr">
        <is>
          <t>analysis_period</t>
        </is>
      </c>
      <c r="C5" s="10" t="inlineStr">
        <is>
          <t>Analysis Period</t>
        </is>
      </c>
      <c r="D5" s="10" t="inlineStr">
        <is>
          <t>Period being analyzed</t>
        </is>
      </c>
      <c r="E5" s="10" t="inlineStr">
        <is>
          <t>Required</t>
        </is>
      </c>
      <c r="F5" s="11" t="n"/>
    </row>
    <row r="6" ht="18" customHeight="1">
      <c r="A6" s="12" t="inlineStr">
        <is>
          <t>Company &amp; Reporting Context</t>
        </is>
      </c>
      <c r="B6" s="12" t="inlineStr">
        <is>
          <t>segment_scheme</t>
        </is>
      </c>
      <c r="C6" s="12" t="inlineStr">
        <is>
          <t>Segmentation Scheme</t>
        </is>
      </c>
      <c r="D6" s="12" t="inlineStr">
        <is>
          <t>SMB, MM, Enterprise, geo, product, channel, etc.</t>
        </is>
      </c>
      <c r="E6" s="12" t="inlineStr">
        <is>
          <t>Optional</t>
        </is>
      </c>
      <c r="F6" s="11" t="n"/>
    </row>
    <row r="7" ht="18" customHeight="1">
      <c r="A7" s="9" t="inlineStr">
        <is>
          <t>Revenue &amp; ARR</t>
        </is>
      </c>
      <c r="B7" s="9" t="inlineStr">
        <is>
          <t>beginning_arr</t>
        </is>
      </c>
      <c r="C7" s="9" t="inlineStr">
        <is>
          <t>Beginning ARR</t>
        </is>
      </c>
      <c r="D7" s="9" t="inlineStr">
        <is>
          <t>ARR at start of period</t>
        </is>
      </c>
      <c r="E7" s="9" t="inlineStr">
        <is>
          <t>Required for ARR funnel</t>
        </is>
      </c>
      <c r="F7" s="9" t="n">
        <v>0</v>
      </c>
    </row>
    <row r="8" ht="18" customHeight="1">
      <c r="A8" s="10" t="inlineStr">
        <is>
          <t>Revenue &amp; ARR</t>
        </is>
      </c>
      <c r="B8" s="10" t="inlineStr">
        <is>
          <t>new_logo_arr</t>
        </is>
      </c>
      <c r="C8" s="10" t="inlineStr">
        <is>
          <t>New Logo ARR</t>
        </is>
      </c>
      <c r="D8" s="10" t="inlineStr">
        <is>
          <t>ARR from new customers in period</t>
        </is>
      </c>
      <c r="E8" s="10" t="inlineStr">
        <is>
          <t>Required for ARR funnel</t>
        </is>
      </c>
      <c r="F8" s="11" t="n">
        <v>0</v>
      </c>
    </row>
    <row r="9" ht="18" customHeight="1">
      <c r="A9" s="12" t="inlineStr">
        <is>
          <t>Revenue &amp; ARR</t>
        </is>
      </c>
      <c r="B9" s="12" t="inlineStr">
        <is>
          <t>expansion_arr</t>
        </is>
      </c>
      <c r="C9" s="12" t="inlineStr">
        <is>
          <t>Expansion ARR</t>
        </is>
      </c>
      <c r="D9" s="12" t="inlineStr">
        <is>
          <t>ARR expansion from existing customers</t>
        </is>
      </c>
      <c r="E9" s="12" t="inlineStr">
        <is>
          <t>Required for ARR funnel/retention</t>
        </is>
      </c>
      <c r="F9" s="11" t="n">
        <v>0</v>
      </c>
    </row>
    <row r="10" ht="18" customHeight="1">
      <c r="A10" s="10" t="inlineStr">
        <is>
          <t>Revenue &amp; ARR</t>
        </is>
      </c>
      <c r="B10" s="10" t="inlineStr">
        <is>
          <t>upsell_arr</t>
        </is>
      </c>
      <c r="C10" s="10" t="inlineStr">
        <is>
          <t>Upsell ARR</t>
        </is>
      </c>
      <c r="D10" s="10" t="inlineStr">
        <is>
          <t>Expansion from same product / contract uplift</t>
        </is>
      </c>
      <c r="E10" s="10" t="inlineStr">
        <is>
          <t>Optional</t>
        </is>
      </c>
      <c r="F10" s="11" t="n">
        <v>0</v>
      </c>
    </row>
    <row r="11" ht="18" customHeight="1">
      <c r="A11" s="12" t="inlineStr">
        <is>
          <t>Revenue &amp; ARR</t>
        </is>
      </c>
      <c r="B11" s="12" t="inlineStr">
        <is>
          <t>cross_sell_arr</t>
        </is>
      </c>
      <c r="C11" s="12" t="inlineStr">
        <is>
          <t>Cross-sell ARR</t>
        </is>
      </c>
      <c r="D11" s="12" t="inlineStr">
        <is>
          <t>Expansion from new product / contract</t>
        </is>
      </c>
      <c r="E11" s="12" t="inlineStr">
        <is>
          <t>Optional</t>
        </is>
      </c>
      <c r="F11" s="11" t="n">
        <v>0</v>
      </c>
    </row>
    <row r="12" ht="18" customHeight="1">
      <c r="A12" s="10" t="inlineStr">
        <is>
          <t>Revenue &amp; ARR</t>
        </is>
      </c>
      <c r="B12" s="10" t="inlineStr">
        <is>
          <t>downsell_arr</t>
        </is>
      </c>
      <c r="C12" s="10" t="inlineStr">
        <is>
          <t>Downsell ARR</t>
        </is>
      </c>
      <c r="D12" s="10" t="inlineStr">
        <is>
          <t>ARR lost from customer downgrades</t>
        </is>
      </c>
      <c r="E12" s="10" t="inlineStr">
        <is>
          <t>Required for ARR funnel/retention</t>
        </is>
      </c>
      <c r="F12" s="11" t="n">
        <v>0</v>
      </c>
    </row>
    <row r="13" ht="18" customHeight="1">
      <c r="A13" s="12" t="inlineStr">
        <is>
          <t>Revenue &amp; ARR</t>
        </is>
      </c>
      <c r="B13" s="12" t="inlineStr">
        <is>
          <t>logo_churn_arr</t>
        </is>
      </c>
      <c r="C13" s="12" t="inlineStr">
        <is>
          <t>Logo Churn ARR</t>
        </is>
      </c>
      <c r="D13" s="12" t="inlineStr">
        <is>
          <t>ARR lost from customer churn</t>
        </is>
      </c>
      <c r="E13" s="12" t="inlineStr">
        <is>
          <t>Required for ARR funnel/retention</t>
        </is>
      </c>
      <c r="F13" s="11" t="n">
        <v>0</v>
      </c>
    </row>
    <row r="14" ht="18" customHeight="1">
      <c r="A14" s="10" t="inlineStr">
        <is>
          <t>Revenue &amp; ARR</t>
        </is>
      </c>
      <c r="B14" s="10" t="inlineStr">
        <is>
          <t>ending_arr</t>
        </is>
      </c>
      <c r="C14" s="10" t="inlineStr">
        <is>
          <t>Ending ARR</t>
        </is>
      </c>
      <c r="D14" s="10" t="inlineStr">
        <is>
          <t>ARR at end of period if already known</t>
        </is>
      </c>
      <c r="E14" s="10" t="inlineStr">
        <is>
          <t>Optional / validation</t>
        </is>
      </c>
      <c r="F14" s="11" t="n">
        <v>0</v>
      </c>
    </row>
    <row r="15" ht="18" customHeight="1">
      <c r="A15" s="12" t="inlineStr">
        <is>
          <t>Revenue &amp; ARR</t>
        </is>
      </c>
      <c r="B15" s="12" t="inlineStr">
        <is>
          <t>bookings</t>
        </is>
      </c>
      <c r="C15" s="12" t="inlineStr">
        <is>
          <t>Bookings</t>
        </is>
      </c>
      <c r="D15" s="12" t="inlineStr">
        <is>
          <t>Total contract value signed in period</t>
        </is>
      </c>
      <c r="E15" s="12" t="inlineStr">
        <is>
          <t>Optional</t>
        </is>
      </c>
      <c r="F15" s="11" t="n">
        <v>0</v>
      </c>
    </row>
    <row r="16" ht="18" customHeight="1">
      <c r="A16" s="10" t="inlineStr">
        <is>
          <t>Revenue &amp; ARR</t>
        </is>
      </c>
      <c r="B16" s="10" t="inlineStr">
        <is>
          <t>billings</t>
        </is>
      </c>
      <c r="C16" s="10" t="inlineStr">
        <is>
          <t>Billings</t>
        </is>
      </c>
      <c r="D16" s="10" t="inlineStr">
        <is>
          <t>Amount invoiced in period</t>
        </is>
      </c>
      <c r="E16" s="10" t="inlineStr">
        <is>
          <t>Optional</t>
        </is>
      </c>
      <c r="F16" s="11" t="n">
        <v>0</v>
      </c>
    </row>
    <row r="17" ht="18" customHeight="1">
      <c r="A17" s="12" t="inlineStr">
        <is>
          <t>Revenue &amp; ARR</t>
        </is>
      </c>
      <c r="B17" s="12" t="inlineStr">
        <is>
          <t>revenue</t>
        </is>
      </c>
      <c r="C17" s="12" t="inlineStr">
        <is>
          <t>Revenue</t>
        </is>
      </c>
      <c r="D17" s="12" t="inlineStr">
        <is>
          <t>Recognized revenue in period</t>
        </is>
      </c>
      <c r="E17" s="12" t="inlineStr">
        <is>
          <t>Optional</t>
        </is>
      </c>
      <c r="F17" s="11" t="n">
        <v>0</v>
      </c>
    </row>
    <row r="18" ht="18" customHeight="1">
      <c r="A18" s="10" t="inlineStr">
        <is>
          <t>Revenue &amp; ARR</t>
        </is>
      </c>
      <c r="B18" s="10" t="inlineStr">
        <is>
          <t>deferred_revenue</t>
        </is>
      </c>
      <c r="C18" s="10" t="inlineStr">
        <is>
          <t>Deferred Revenue</t>
        </is>
      </c>
      <c r="D18" s="10" t="inlineStr">
        <is>
          <t>Billings less recognized revenue</t>
        </is>
      </c>
      <c r="E18" s="10" t="inlineStr">
        <is>
          <t>Optional</t>
        </is>
      </c>
      <c r="F18" s="11" t="n">
        <v>0</v>
      </c>
    </row>
    <row r="19" ht="18" customHeight="1">
      <c r="A19" s="9" t="inlineStr">
        <is>
          <t>Customer &amp; Retention</t>
        </is>
      </c>
      <c r="B19" s="9" t="inlineStr">
        <is>
          <t>bop_customers</t>
        </is>
      </c>
      <c r="C19" s="9" t="inlineStr">
        <is>
          <t>Beginning Customer Count</t>
        </is>
      </c>
      <c r="D19" s="9" t="inlineStr">
        <is>
          <t>Customers at start of period</t>
        </is>
      </c>
      <c r="E19" s="9" t="inlineStr">
        <is>
          <t>Required for logo retention</t>
        </is>
      </c>
      <c r="F19" s="9" t="n">
        <v>0</v>
      </c>
    </row>
    <row r="20" ht="18" customHeight="1">
      <c r="A20" s="10" t="inlineStr">
        <is>
          <t>Customer &amp; Retention</t>
        </is>
      </c>
      <c r="B20" s="10" t="inlineStr">
        <is>
          <t>eop_customers</t>
        </is>
      </c>
      <c r="C20" s="10" t="inlineStr">
        <is>
          <t>Ending Customer Count</t>
        </is>
      </c>
      <c r="D20" s="10" t="inlineStr">
        <is>
          <t>Customers at end of period</t>
        </is>
      </c>
      <c r="E20" s="10" t="inlineStr">
        <is>
          <t>Required for logo retention</t>
        </is>
      </c>
      <c r="F20" s="11" t="n">
        <v>0</v>
      </c>
    </row>
    <row r="21" ht="18" customHeight="1">
      <c r="A21" s="12" t="inlineStr">
        <is>
          <t>Customer &amp; Retention</t>
        </is>
      </c>
      <c r="B21" s="12" t="inlineStr">
        <is>
          <t>gross_new_logo_customers</t>
        </is>
      </c>
      <c r="C21" s="12" t="inlineStr">
        <is>
          <t>Gross New Logo Customers</t>
        </is>
      </c>
      <c r="D21" s="12" t="inlineStr">
        <is>
          <t>New logos acquired in period</t>
        </is>
      </c>
      <c r="E21" s="12" t="inlineStr">
        <is>
          <t>Required for CAC</t>
        </is>
      </c>
      <c r="F21" s="11" t="n">
        <v>0</v>
      </c>
    </row>
    <row r="22" ht="18" customHeight="1">
      <c r="A22" s="10" t="inlineStr">
        <is>
          <t>Customer &amp; Retention</t>
        </is>
      </c>
      <c r="B22" s="10" t="inlineStr">
        <is>
          <t>churned_customers</t>
        </is>
      </c>
      <c r="C22" s="10" t="inlineStr">
        <is>
          <t>Churned Customers</t>
        </is>
      </c>
      <c r="D22" s="10" t="inlineStr">
        <is>
          <t>Customers lost in period</t>
        </is>
      </c>
      <c r="E22" s="10" t="inlineStr">
        <is>
          <t>Required for logo churn</t>
        </is>
      </c>
      <c r="F22" s="11" t="n">
        <v>0</v>
      </c>
    </row>
    <row r="23" ht="18" customHeight="1">
      <c r="A23" s="12" t="inlineStr">
        <is>
          <t>Customer &amp; Retention</t>
        </is>
      </c>
      <c r="B23" s="12" t="inlineStr">
        <is>
          <t>logo_churn_rate</t>
        </is>
      </c>
      <c r="C23" s="12" t="inlineStr">
        <is>
          <t>Logo Churn Rate</t>
        </is>
      </c>
      <c r="D23" s="12" t="inlineStr">
        <is>
          <t>If already calculated, can be provided directly</t>
        </is>
      </c>
      <c r="E23" s="12" t="inlineStr">
        <is>
          <t>Optional / shortcut</t>
        </is>
      </c>
      <c r="F23" s="11" t="n">
        <v>0</v>
      </c>
    </row>
    <row r="24" ht="18" customHeight="1">
      <c r="A24" s="10" t="inlineStr">
        <is>
          <t>Customer &amp; Retention</t>
        </is>
      </c>
      <c r="B24" s="10" t="inlineStr">
        <is>
          <t>avg_arr_per_customer</t>
        </is>
      </c>
      <c r="C24" s="10" t="inlineStr">
        <is>
          <t>Average ARR per Customer</t>
        </is>
      </c>
      <c r="D24" s="10" t="inlineStr">
        <is>
          <t>Average ARR per retained customer</t>
        </is>
      </c>
      <c r="E24" s="10" t="inlineStr">
        <is>
          <t>Required for LTV</t>
        </is>
      </c>
      <c r="F24" s="11" t="n">
        <v>0</v>
      </c>
    </row>
    <row r="25" ht="18" customHeight="1">
      <c r="A25" s="12" t="inlineStr">
        <is>
          <t>Customer &amp; Retention</t>
        </is>
      </c>
      <c r="B25" s="12" t="inlineStr">
        <is>
          <t>dau</t>
        </is>
      </c>
      <c r="C25" s="12" t="inlineStr">
        <is>
          <t>Daily Active Users</t>
        </is>
      </c>
      <c r="D25" s="12" t="inlineStr">
        <is>
          <t>Customer-level or aggregate DAU</t>
        </is>
      </c>
      <c r="E25" s="12" t="inlineStr">
        <is>
          <t>Optional</t>
        </is>
      </c>
      <c r="F25" s="11" t="n">
        <v>0</v>
      </c>
    </row>
    <row r="26" ht="18" customHeight="1">
      <c r="A26" s="10" t="inlineStr">
        <is>
          <t>Customer &amp; Retention</t>
        </is>
      </c>
      <c r="B26" s="10" t="inlineStr">
        <is>
          <t>mau</t>
        </is>
      </c>
      <c r="C26" s="10" t="inlineStr">
        <is>
          <t>Monthly Active Users</t>
        </is>
      </c>
      <c r="D26" s="10" t="inlineStr">
        <is>
          <t>Customer-level or aggregate MAU</t>
        </is>
      </c>
      <c r="E26" s="10" t="inlineStr">
        <is>
          <t>Optional</t>
        </is>
      </c>
      <c r="F26" s="11" t="n">
        <v>0</v>
      </c>
    </row>
    <row r="27" ht="18" customHeight="1">
      <c r="A27" s="12" t="inlineStr">
        <is>
          <t>Customer &amp; Retention</t>
        </is>
      </c>
      <c r="B27" s="12" t="inlineStr">
        <is>
          <t>total_users</t>
        </is>
      </c>
      <c r="C27" s="12" t="inlineStr">
        <is>
          <t>Total Users</t>
        </is>
      </c>
      <c r="D27" s="12" t="inlineStr">
        <is>
          <t>Total licensed / relevant users</t>
        </is>
      </c>
      <c r="E27" s="12" t="inlineStr">
        <is>
          <t>Optional</t>
        </is>
      </c>
      <c r="F27" s="11" t="n">
        <v>0</v>
      </c>
    </row>
    <row r="28" ht="18" customHeight="1">
      <c r="A28" s="10" t="inlineStr">
        <is>
          <t>Customer &amp; Retention</t>
        </is>
      </c>
      <c r="B28" s="10" t="inlineStr">
        <is>
          <t>feature_active_users</t>
        </is>
      </c>
      <c r="C28" s="10" t="inlineStr">
        <is>
          <t>Feature Active Users</t>
        </is>
      </c>
      <c r="D28" s="10" t="inlineStr">
        <is>
          <t>Users actively using a feature</t>
        </is>
      </c>
      <c r="E28" s="10" t="inlineStr">
        <is>
          <t>Optional</t>
        </is>
      </c>
      <c r="F28" s="11" t="n">
        <v>0</v>
      </c>
    </row>
    <row r="29" ht="18" customHeight="1">
      <c r="A29" s="12" t="inlineStr">
        <is>
          <t>Customer &amp; Retention</t>
        </is>
      </c>
      <c r="B29" s="12" t="inlineStr">
        <is>
          <t>expected_implementation_days</t>
        </is>
      </c>
      <c r="C29" s="12" t="inlineStr">
        <is>
          <t>Expected Implementation Days</t>
        </is>
      </c>
      <c r="D29" s="12" t="inlineStr">
        <is>
          <t>Promised or target implementation duration</t>
        </is>
      </c>
      <c r="E29" s="12" t="inlineStr">
        <is>
          <t>Optional</t>
        </is>
      </c>
      <c r="F29" s="11" t="n">
        <v>0</v>
      </c>
    </row>
    <row r="30" ht="18" customHeight="1">
      <c r="A30" s="10" t="inlineStr">
        <is>
          <t>Customer &amp; Retention</t>
        </is>
      </c>
      <c r="B30" s="10" t="inlineStr">
        <is>
          <t>actual_implementation_days</t>
        </is>
      </c>
      <c r="C30" s="10" t="inlineStr">
        <is>
          <t>Actual Implementation Days</t>
        </is>
      </c>
      <c r="D30" s="10" t="inlineStr">
        <is>
          <t>Observed implementation duration</t>
        </is>
      </c>
      <c r="E30" s="10" t="inlineStr">
        <is>
          <t>Optional</t>
        </is>
      </c>
      <c r="F30" s="11" t="n">
        <v>0</v>
      </c>
    </row>
    <row r="31" ht="18" customHeight="1">
      <c r="A31" s="12" t="inlineStr">
        <is>
          <t>Customer &amp; Retention</t>
        </is>
      </c>
      <c r="B31" s="12" t="inlineStr">
        <is>
          <t>promoter_pct</t>
        </is>
      </c>
      <c r="C31" s="12" t="inlineStr">
        <is>
          <t>Promoter %</t>
        </is>
      </c>
      <c r="D31" s="12" t="inlineStr">
        <is>
          <t>Percent of promoters for NPS</t>
        </is>
      </c>
      <c r="E31" s="12" t="inlineStr">
        <is>
          <t>Optional</t>
        </is>
      </c>
      <c r="F31" s="11" t="n">
        <v>0</v>
      </c>
    </row>
    <row r="32" ht="18" customHeight="1">
      <c r="A32" s="10" t="inlineStr">
        <is>
          <t>Customer &amp; Retention</t>
        </is>
      </c>
      <c r="B32" s="10" t="inlineStr">
        <is>
          <t>detractor_pct</t>
        </is>
      </c>
      <c r="C32" s="10" t="inlineStr">
        <is>
          <t>Detractor %</t>
        </is>
      </c>
      <c r="D32" s="10" t="inlineStr">
        <is>
          <t>Percent of detractors for NPS</t>
        </is>
      </c>
      <c r="E32" s="10" t="inlineStr">
        <is>
          <t>Optional</t>
        </is>
      </c>
      <c r="F32" s="11" t="n">
        <v>0</v>
      </c>
    </row>
    <row r="33" ht="18" customHeight="1">
      <c r="A33" s="12" t="inlineStr">
        <is>
          <t>Customer &amp; Retention</t>
        </is>
      </c>
      <c r="B33" s="12" t="inlineStr">
        <is>
          <t>satisfied_responses</t>
        </is>
      </c>
      <c r="C33" s="12" t="inlineStr">
        <is>
          <t>Satisfied Responses</t>
        </is>
      </c>
      <c r="D33" s="12" t="inlineStr">
        <is>
          <t>Positive CSAT responses</t>
        </is>
      </c>
      <c r="E33" s="12" t="inlineStr">
        <is>
          <t>Optional</t>
        </is>
      </c>
      <c r="F33" s="11" t="n">
        <v>0</v>
      </c>
    </row>
    <row r="34" ht="18" customHeight="1">
      <c r="A34" s="10" t="inlineStr">
        <is>
          <t>Customer &amp; Retention</t>
        </is>
      </c>
      <c r="B34" s="10" t="inlineStr">
        <is>
          <t>total_responses</t>
        </is>
      </c>
      <c r="C34" s="10" t="inlineStr">
        <is>
          <t>Total Responses</t>
        </is>
      </c>
      <c r="D34" s="10" t="inlineStr">
        <is>
          <t>Total survey responses</t>
        </is>
      </c>
      <c r="E34" s="10" t="inlineStr">
        <is>
          <t>Optional</t>
        </is>
      </c>
      <c r="F34" s="11" t="n">
        <v>0</v>
      </c>
    </row>
    <row r="35" ht="18" customHeight="1">
      <c r="A35" s="9" t="inlineStr">
        <is>
          <t>Funnel &amp; Pipeline</t>
        </is>
      </c>
      <c r="B35" s="9" t="inlineStr">
        <is>
          <t>pipeline_dollars</t>
        </is>
      </c>
      <c r="C35" s="9" t="inlineStr">
        <is>
          <t>Pipeline $</t>
        </is>
      </c>
      <c r="D35" s="9" t="inlineStr">
        <is>
          <t>Unweighted pipeline value for period</t>
        </is>
      </c>
      <c r="E35" s="9" t="inlineStr">
        <is>
          <t>Required for pipeline coverage</t>
        </is>
      </c>
      <c r="F35" s="9" t="n">
        <v>0</v>
      </c>
    </row>
    <row r="36" ht="18" customHeight="1">
      <c r="A36" s="10" t="inlineStr">
        <is>
          <t>Funnel &amp; Pipeline</t>
        </is>
      </c>
      <c r="B36" s="10" t="inlineStr">
        <is>
          <t>weighted_pipeline_dollars</t>
        </is>
      </c>
      <c r="C36" s="10" t="inlineStr">
        <is>
          <t>Weighted Pipeline $</t>
        </is>
      </c>
      <c r="D36" s="10" t="inlineStr">
        <is>
          <t>Forecast-weighted pipeline value</t>
        </is>
      </c>
      <c r="E36" s="10" t="inlineStr">
        <is>
          <t>Optional / preferred</t>
        </is>
      </c>
      <c r="F36" s="11" t="n">
        <v>0</v>
      </c>
    </row>
    <row r="37" ht="18" customHeight="1">
      <c r="A37" s="12" t="inlineStr">
        <is>
          <t>Funnel &amp; Pipeline</t>
        </is>
      </c>
      <c r="B37" s="12" t="inlineStr">
        <is>
          <t>sales_target</t>
        </is>
      </c>
      <c r="C37" s="12" t="inlineStr">
        <is>
          <t>Sales Target</t>
        </is>
      </c>
      <c r="D37" s="12" t="inlineStr">
        <is>
          <t>Bookings / ARR target for period</t>
        </is>
      </c>
      <c r="E37" s="12" t="inlineStr">
        <is>
          <t>Required for coverage</t>
        </is>
      </c>
      <c r="F37" s="11" t="n">
        <v>0</v>
      </c>
    </row>
    <row r="38" ht="18" customHeight="1">
      <c r="A38" s="10" t="inlineStr">
        <is>
          <t>Funnel &amp; Pipeline</t>
        </is>
      </c>
      <c r="B38" s="10" t="inlineStr">
        <is>
          <t>forecast_dollars</t>
        </is>
      </c>
      <c r="C38" s="10" t="inlineStr">
        <is>
          <t>Forecast $</t>
        </is>
      </c>
      <c r="D38" s="10" t="inlineStr">
        <is>
          <t>Forecast for period</t>
        </is>
      </c>
      <c r="E38" s="10" t="inlineStr">
        <is>
          <t>Required for forecast vs target</t>
        </is>
      </c>
      <c r="F38" s="11" t="n">
        <v>0</v>
      </c>
    </row>
    <row r="39" ht="18" customHeight="1">
      <c r="A39" s="12" t="inlineStr">
        <is>
          <t>Funnel &amp; Pipeline</t>
        </is>
      </c>
      <c r="B39" s="12" t="inlineStr">
        <is>
          <t>closed_won_opportunities</t>
        </is>
      </c>
      <c r="C39" s="12" t="inlineStr">
        <is>
          <t>Closed Won Opportunities</t>
        </is>
      </c>
      <c r="D39" s="12" t="inlineStr">
        <is>
          <t>Count of won opportunities</t>
        </is>
      </c>
      <c r="E39" s="12" t="inlineStr">
        <is>
          <t>Optional</t>
        </is>
      </c>
      <c r="F39" s="11" t="n">
        <v>0</v>
      </c>
    </row>
    <row r="40" ht="18" customHeight="1">
      <c r="A40" s="10" t="inlineStr">
        <is>
          <t>Funnel &amp; Pipeline</t>
        </is>
      </c>
      <c r="B40" s="10" t="inlineStr">
        <is>
          <t>closed_lost_opportunities</t>
        </is>
      </c>
      <c r="C40" s="10" t="inlineStr">
        <is>
          <t>Closed Lost Opportunities</t>
        </is>
      </c>
      <c r="D40" s="10" t="inlineStr">
        <is>
          <t>Count of lost opportunities</t>
        </is>
      </c>
      <c r="E40" s="10" t="inlineStr">
        <is>
          <t>Optional</t>
        </is>
      </c>
      <c r="F40" s="11" t="n">
        <v>0</v>
      </c>
    </row>
    <row r="41" ht="18" customHeight="1">
      <c r="A41" s="12" t="inlineStr">
        <is>
          <t>Funnel &amp; Pipeline</t>
        </is>
      </c>
      <c r="B41" s="12" t="inlineStr">
        <is>
          <t>opportunities_created</t>
        </is>
      </c>
      <c r="C41" s="12" t="inlineStr">
        <is>
          <t>Opportunities Created in Period</t>
        </is>
      </c>
      <c r="D41" s="12" t="inlineStr">
        <is>
          <t>Used for close rate</t>
        </is>
      </c>
      <c r="E41" s="12" t="inlineStr">
        <is>
          <t>Optional</t>
        </is>
      </c>
      <c r="F41" s="11" t="n">
        <v>0</v>
      </c>
    </row>
    <row r="42" ht="18" customHeight="1">
      <c r="A42" s="10" t="inlineStr">
        <is>
          <t>Funnel &amp; Pipeline</t>
        </is>
      </c>
      <c r="B42" s="10" t="inlineStr">
        <is>
          <t>closed_won_same_period</t>
        </is>
      </c>
      <c r="C42" s="10" t="inlineStr">
        <is>
          <t>Closed Won in Same Period</t>
        </is>
      </c>
      <c r="D42" s="10" t="inlineStr">
        <is>
          <t>Used for close rate</t>
        </is>
      </c>
      <c r="E42" s="10" t="inlineStr">
        <is>
          <t>Optional</t>
        </is>
      </c>
      <c r="F42" s="11" t="n">
        <v>0</v>
      </c>
    </row>
    <row r="43" ht="18" customHeight="1">
      <c r="A43" s="12" t="inlineStr">
        <is>
          <t>Funnel &amp; Pipeline</t>
        </is>
      </c>
      <c r="B43" s="12" t="inlineStr">
        <is>
          <t>sql_count</t>
        </is>
      </c>
      <c r="C43" s="12" t="inlineStr">
        <is>
          <t>SQL Count</t>
        </is>
      </c>
      <c r="D43" s="12" t="inlineStr">
        <is>
          <t>Total sales qualified leads</t>
        </is>
      </c>
      <c r="E43" s="12" t="inlineStr">
        <is>
          <t>Optional</t>
        </is>
      </c>
      <c r="F43" s="11" t="n">
        <v>0</v>
      </c>
    </row>
    <row r="44" ht="18" customHeight="1">
      <c r="A44" s="10" t="inlineStr">
        <is>
          <t>Funnel &amp; Pipeline</t>
        </is>
      </c>
      <c r="B44" s="10" t="inlineStr">
        <is>
          <t>closed_won_sql</t>
        </is>
      </c>
      <c r="C44" s="10" t="inlineStr">
        <is>
          <t>Closed Won SQLs</t>
        </is>
      </c>
      <c r="D44" s="10" t="inlineStr">
        <is>
          <t>SQLs that closed won</t>
        </is>
      </c>
      <c r="E44" s="10" t="inlineStr">
        <is>
          <t>Optional</t>
        </is>
      </c>
      <c r="F44" s="11" t="n">
        <v>0</v>
      </c>
    </row>
    <row r="45" ht="18" customHeight="1">
      <c r="A45" s="12" t="inlineStr">
        <is>
          <t>Funnel &amp; Pipeline</t>
        </is>
      </c>
      <c r="B45" s="12" t="inlineStr">
        <is>
          <t>stage_forecast_probability</t>
        </is>
      </c>
      <c r="C45" s="12" t="inlineStr">
        <is>
          <t>Average Stage Forecast Probability</t>
        </is>
      </c>
      <c r="D45" s="12" t="inlineStr">
        <is>
          <t>If using a simplified weighted forecast</t>
        </is>
      </c>
      <c r="E45" s="12" t="inlineStr">
        <is>
          <t>Optional</t>
        </is>
      </c>
      <c r="F45" s="11" t="n">
        <v>0</v>
      </c>
    </row>
    <row r="46" ht="18" customHeight="1">
      <c r="A46" s="9" t="inlineStr">
        <is>
          <t>Efficiency &amp; Economics</t>
        </is>
      </c>
      <c r="B46" s="9" t="inlineStr">
        <is>
          <t>sm_opex</t>
        </is>
      </c>
      <c r="C46" s="9" t="inlineStr">
        <is>
          <t>S&amp;M OpEx (Current Period)</t>
        </is>
      </c>
      <c r="D46" s="9" t="inlineStr">
        <is>
          <t>Sales &amp; marketing operating expense in current period</t>
        </is>
      </c>
      <c r="E46" s="9" t="inlineStr">
        <is>
          <t>Required for several metrics</t>
        </is>
      </c>
      <c r="F46" s="9" t="n">
        <v>0</v>
      </c>
    </row>
    <row r="47" ht="18" customHeight="1">
      <c r="A47" s="10" t="inlineStr">
        <is>
          <t>Efficiency &amp; Economics</t>
        </is>
      </c>
      <c r="B47" s="10" t="inlineStr">
        <is>
          <t>prior_qtr_sm_opex</t>
        </is>
      </c>
      <c r="C47" s="10" t="inlineStr">
        <is>
          <t>Prior Quarter S&amp;M OpEx</t>
        </is>
      </c>
      <c r="D47" s="10" t="inlineStr">
        <is>
          <t>Preferred for magic number and time-adjusted CAC</t>
        </is>
      </c>
      <c r="E47" s="10" t="inlineStr">
        <is>
          <t>Required for lagged metrics</t>
        </is>
      </c>
      <c r="F47" s="11" t="n">
        <v>0</v>
      </c>
    </row>
    <row r="48" ht="18" customHeight="1">
      <c r="A48" s="12" t="inlineStr">
        <is>
          <t>Efficiency &amp; Economics</t>
        </is>
      </c>
      <c r="B48" s="12" t="inlineStr">
        <is>
          <t>gross_profit</t>
        </is>
      </c>
      <c r="C48" s="12" t="inlineStr">
        <is>
          <t>Gross Profit</t>
        </is>
      </c>
      <c r="D48" s="12" t="inlineStr">
        <is>
          <t>Total gross profit in period</t>
        </is>
      </c>
      <c r="E48" s="12" t="inlineStr">
        <is>
          <t>Required for gross margin</t>
        </is>
      </c>
      <c r="F48" s="11" t="n">
        <v>0</v>
      </c>
    </row>
    <row r="49" ht="18" customHeight="1">
      <c r="A49" s="10" t="inlineStr">
        <is>
          <t>Efficiency &amp; Economics</t>
        </is>
      </c>
      <c r="B49" s="10" t="inlineStr">
        <is>
          <t>total_revenue</t>
        </is>
      </c>
      <c r="C49" s="10" t="inlineStr">
        <is>
          <t>Total Revenue</t>
        </is>
      </c>
      <c r="D49" s="10" t="inlineStr">
        <is>
          <t>Total revenue in period</t>
        </is>
      </c>
      <c r="E49" s="10" t="inlineStr">
        <is>
          <t>Required for gross margin</t>
        </is>
      </c>
      <c r="F49" s="11" t="n">
        <v>0</v>
      </c>
    </row>
    <row r="50" ht="18" customHeight="1">
      <c r="A50" s="12" t="inlineStr">
        <is>
          <t>Efficiency &amp; Economics</t>
        </is>
      </c>
      <c r="B50" s="12" t="inlineStr">
        <is>
          <t>subscription_gross_profit</t>
        </is>
      </c>
      <c r="C50" s="12" t="inlineStr">
        <is>
          <t>Subscription Gross Profit</t>
        </is>
      </c>
      <c r="D50" s="12" t="inlineStr">
        <is>
          <t>Gross profit from subscription revenue line</t>
        </is>
      </c>
      <c r="E50" s="12" t="inlineStr">
        <is>
          <t>Optional</t>
        </is>
      </c>
      <c r="F50" s="11" t="n">
        <v>0</v>
      </c>
    </row>
    <row r="51" ht="18" customHeight="1">
      <c r="A51" s="10" t="inlineStr">
        <is>
          <t>Efficiency &amp; Economics</t>
        </is>
      </c>
      <c r="B51" s="10" t="inlineStr">
        <is>
          <t>subscription_revenue</t>
        </is>
      </c>
      <c r="C51" s="10" t="inlineStr">
        <is>
          <t>Subscription Revenue</t>
        </is>
      </c>
      <c r="D51" s="10" t="inlineStr">
        <is>
          <t>Revenue from subscription line only</t>
        </is>
      </c>
      <c r="E51" s="10" t="inlineStr">
        <is>
          <t>Optional</t>
        </is>
      </c>
      <c r="F51" s="11" t="n">
        <v>0</v>
      </c>
    </row>
    <row r="52" ht="18" customHeight="1">
      <c r="A52" s="12" t="inlineStr">
        <is>
          <t>Efficiency &amp; Economics</t>
        </is>
      </c>
      <c r="B52" s="12" t="inlineStr">
        <is>
          <t>services_gross_profit</t>
        </is>
      </c>
      <c r="C52" s="12" t="inlineStr">
        <is>
          <t>Services Gross Profit</t>
        </is>
      </c>
      <c r="D52" s="12" t="inlineStr">
        <is>
          <t>Gross profit from professional services</t>
        </is>
      </c>
      <c r="E52" s="12" t="inlineStr">
        <is>
          <t>Optional</t>
        </is>
      </c>
      <c r="F52" s="11" t="n">
        <v>0</v>
      </c>
    </row>
    <row r="53" ht="18" customHeight="1">
      <c r="A53" s="10" t="inlineStr">
        <is>
          <t>Efficiency &amp; Economics</t>
        </is>
      </c>
      <c r="B53" s="10" t="inlineStr">
        <is>
          <t>services_revenue</t>
        </is>
      </c>
      <c r="C53" s="10" t="inlineStr">
        <is>
          <t>Services Revenue</t>
        </is>
      </c>
      <c r="D53" s="10" t="inlineStr">
        <is>
          <t>Revenue from professional services</t>
        </is>
      </c>
      <c r="E53" s="10" t="inlineStr">
        <is>
          <t>Optional</t>
        </is>
      </c>
      <c r="F53" s="11" t="n">
        <v>0</v>
      </c>
    </row>
    <row r="54" ht="18" customHeight="1">
      <c r="A54" s="12" t="inlineStr">
        <is>
          <t>Efficiency &amp; Economics</t>
        </is>
      </c>
      <c r="B54" s="12" t="inlineStr">
        <is>
          <t>gross_margin_pct</t>
        </is>
      </c>
      <c r="C54" s="12" t="inlineStr">
        <is>
          <t>Gross Margin %</t>
        </is>
      </c>
      <c r="D54" s="12" t="inlineStr">
        <is>
          <t>Can be input directly if already calculated</t>
        </is>
      </c>
      <c r="E54" s="12" t="inlineStr">
        <is>
          <t>Optional / shortcut</t>
        </is>
      </c>
      <c r="F54" s="11" t="n">
        <v>0</v>
      </c>
    </row>
    <row r="55" ht="18" customHeight="1">
      <c r="A55" s="10" t="inlineStr">
        <is>
          <t>Efficiency &amp; Economics</t>
        </is>
      </c>
      <c r="B55" s="10" t="inlineStr">
        <is>
          <t>channel_spend</t>
        </is>
      </c>
      <c r="C55" s="10" t="inlineStr">
        <is>
          <t>Channel Spend</t>
        </is>
      </c>
      <c r="D55" s="10" t="inlineStr">
        <is>
          <t>Spend for a specific channel</t>
        </is>
      </c>
      <c r="E55" s="10" t="inlineStr">
        <is>
          <t>Optional</t>
        </is>
      </c>
      <c r="F55" s="11" t="n">
        <v>0</v>
      </c>
    </row>
    <row r="56" ht="18" customHeight="1">
      <c r="A56" s="12" t="inlineStr">
        <is>
          <t>Efficiency &amp; Economics</t>
        </is>
      </c>
      <c r="B56" s="12" t="inlineStr">
        <is>
          <t>channel_new_logos</t>
        </is>
      </c>
      <c r="C56" s="12" t="inlineStr">
        <is>
          <t>Channel New Logos</t>
        </is>
      </c>
      <c r="D56" s="12" t="inlineStr">
        <is>
          <t>Customers acquired via channel</t>
        </is>
      </c>
      <c r="E56" s="12" t="inlineStr">
        <is>
          <t>Optional</t>
        </is>
      </c>
      <c r="F56" s="11" t="n">
        <v>0</v>
      </c>
    </row>
    <row r="57" ht="18" customHeight="1">
      <c r="A57" s="9" t="inlineStr">
        <is>
          <t>Team &amp; Productivity</t>
        </is>
      </c>
      <c r="B57" s="9" t="inlineStr">
        <is>
          <t>avg_sm_ftes</t>
        </is>
      </c>
      <c r="C57" s="9" t="inlineStr">
        <is>
          <t>Average S&amp;M FTEs</t>
        </is>
      </c>
      <c r="D57" s="9" t="inlineStr">
        <is>
          <t>Average S&amp;M employees in period</t>
        </is>
      </c>
      <c r="E57" s="9" t="inlineStr">
        <is>
          <t>Required for FTE metrics</t>
        </is>
      </c>
      <c r="F57" s="9" t="n">
        <v>0</v>
      </c>
    </row>
    <row r="58" ht="18" customHeight="1">
      <c r="A58" s="10" t="inlineStr">
        <is>
          <t>Team &amp; Productivity</t>
        </is>
      </c>
      <c r="B58" s="10" t="inlineStr">
        <is>
          <t>qcr_count</t>
        </is>
      </c>
      <c r="C58" s="10" t="inlineStr">
        <is>
          <t>Quota-Carrying Reps</t>
        </is>
      </c>
      <c r="D58" s="10" t="inlineStr">
        <is>
          <t>Average QCRs in period</t>
        </is>
      </c>
      <c r="E58" s="10" t="inlineStr">
        <is>
          <t>Required for rep productivity/capacity</t>
        </is>
      </c>
      <c r="F58" s="11" t="n">
        <v>0</v>
      </c>
    </row>
    <row r="59" ht="18" customHeight="1">
      <c r="A59" s="12" t="inlineStr">
        <is>
          <t>Team &amp; Productivity</t>
        </is>
      </c>
      <c r="B59" s="12" t="inlineStr">
        <is>
          <t>csm_count</t>
        </is>
      </c>
      <c r="C59" s="12" t="inlineStr">
        <is>
          <t>CSM Count</t>
        </is>
      </c>
      <c r="D59" s="12" t="inlineStr">
        <is>
          <t>Customer success managers</t>
        </is>
      </c>
      <c r="E59" s="12" t="inlineStr">
        <is>
          <t>Optional</t>
        </is>
      </c>
      <c r="F59" s="11" t="n">
        <v>0</v>
      </c>
    </row>
    <row r="60" ht="18" customHeight="1">
      <c r="A60" s="10" t="inlineStr">
        <is>
          <t>Team &amp; Productivity</t>
        </is>
      </c>
      <c r="B60" s="10" t="inlineStr">
        <is>
          <t>sales_manager_count</t>
        </is>
      </c>
      <c r="C60" s="10" t="inlineStr">
        <is>
          <t>Sales Manager Count</t>
        </is>
      </c>
      <c r="D60" s="10" t="inlineStr">
        <is>
          <t>AE managers</t>
        </is>
      </c>
      <c r="E60" s="10" t="inlineStr">
        <is>
          <t>Optional</t>
        </is>
      </c>
      <c r="F60" s="11" t="n">
        <v>0</v>
      </c>
    </row>
    <row r="61" ht="18" customHeight="1">
      <c r="A61" s="12" t="inlineStr">
        <is>
          <t>Team &amp; Productivity</t>
        </is>
      </c>
      <c r="B61" s="12" t="inlineStr">
        <is>
          <t>sdr_count</t>
        </is>
      </c>
      <c r="C61" s="12" t="inlineStr">
        <is>
          <t>SDR / BDR Count</t>
        </is>
      </c>
      <c r="D61" s="12" t="inlineStr">
        <is>
          <t>Sales development / business development reps</t>
        </is>
      </c>
      <c r="E61" s="12" t="inlineStr">
        <is>
          <t>Optional</t>
        </is>
      </c>
      <c r="F61" s="11" t="n">
        <v>0</v>
      </c>
    </row>
    <row r="62" ht="18" customHeight="1">
      <c r="A62" s="10" t="inlineStr">
        <is>
          <t>Team &amp; Productivity</t>
        </is>
      </c>
      <c r="B62" s="10" t="inlineStr">
        <is>
          <t>qcr_departed</t>
        </is>
      </c>
      <c r="C62" s="10" t="inlineStr">
        <is>
          <t>QCRs Departed</t>
        </is>
      </c>
      <c r="D62" s="10" t="inlineStr">
        <is>
          <t>Quota-carrying reps departed in period</t>
        </is>
      </c>
      <c r="E62" s="10" t="inlineStr">
        <is>
          <t>Optional</t>
        </is>
      </c>
      <c r="F62" s="11" t="n">
        <v>0</v>
      </c>
    </row>
    <row r="63" ht="18" customHeight="1">
      <c r="A63" s="12" t="inlineStr">
        <is>
          <t>Team &amp; Productivity</t>
        </is>
      </c>
      <c r="B63" s="12" t="inlineStr">
        <is>
          <t>quota_allocated</t>
        </is>
      </c>
      <c r="C63" s="12" t="inlineStr">
        <is>
          <t>Quota Allocated</t>
        </is>
      </c>
      <c r="D63" s="12" t="inlineStr">
        <is>
          <t>Total allocated quota in period</t>
        </is>
      </c>
      <c r="E63" s="12" t="inlineStr">
        <is>
          <t>Required for attainment</t>
        </is>
      </c>
      <c r="F63" s="11" t="n">
        <v>0</v>
      </c>
    </row>
    <row r="64" ht="18" customHeight="1">
      <c r="A64" s="10" t="inlineStr">
        <is>
          <t>Team &amp; Productivity</t>
        </is>
      </c>
      <c r="B64" s="10" t="inlineStr">
        <is>
          <t>quota_attained</t>
        </is>
      </c>
      <c r="C64" s="10" t="inlineStr">
        <is>
          <t>Quota Attained</t>
        </is>
      </c>
      <c r="D64" s="10" t="inlineStr">
        <is>
          <t>Total quota achieved in period</t>
        </is>
      </c>
      <c r="E64" s="10" t="inlineStr">
        <is>
          <t>Required for attainment</t>
        </is>
      </c>
      <c r="F64" s="11" t="n">
        <v>0</v>
      </c>
    </row>
    <row r="65" ht="18" customHeight="1">
      <c r="A65" s="12" t="inlineStr">
        <is>
          <t>Team &amp; Productivity</t>
        </is>
      </c>
      <c r="B65" s="12" t="inlineStr">
        <is>
          <t>qcrs_attaining_100</t>
        </is>
      </c>
      <c r="C65" s="12" t="inlineStr">
        <is>
          <t>QCRs Attaining 100%+</t>
        </is>
      </c>
      <c r="D65" s="12" t="inlineStr">
        <is>
          <t>Count of reps hitting quota</t>
        </is>
      </c>
      <c r="E65" s="12" t="inlineStr">
        <is>
          <t>Optional</t>
        </is>
      </c>
      <c r="F65" s="11" t="n">
        <v>0</v>
      </c>
    </row>
    <row r="66" ht="18" customHeight="1">
      <c r="A66" s="10" t="inlineStr">
        <is>
          <t>Team &amp; Productivity</t>
        </is>
      </c>
      <c r="B66" s="10" t="inlineStr">
        <is>
          <t>qcr_retention_rate</t>
        </is>
      </c>
      <c r="C66" s="10" t="inlineStr">
        <is>
          <t>QCR Retention Rate</t>
        </is>
      </c>
      <c r="D66" s="10" t="inlineStr">
        <is>
          <t>Percent of QCRs retained in period</t>
        </is>
      </c>
      <c r="E66" s="10" t="inlineStr">
        <is>
          <t>Required for capacity if used</t>
        </is>
      </c>
      <c r="F66" s="11" t="n">
        <v>0</v>
      </c>
    </row>
    <row r="67" ht="18" customHeight="1">
      <c r="A67" s="12" t="inlineStr">
        <is>
          <t>Team &amp; Productivity</t>
        </is>
      </c>
      <c r="B67" s="12" t="inlineStr">
        <is>
          <t>reps_first_full_ramp_period</t>
        </is>
      </c>
      <c r="C67" s="12" t="inlineStr">
        <is>
          <t>Reps in First Fully Ramped Period</t>
        </is>
      </c>
      <c r="D67" s="12" t="inlineStr">
        <is>
          <t>Denominator for ramp rate</t>
        </is>
      </c>
      <c r="E67" s="12" t="inlineStr">
        <is>
          <t>Optional</t>
        </is>
      </c>
      <c r="F67" s="11" t="n">
        <v>0</v>
      </c>
    </row>
    <row r="68" ht="18" customHeight="1">
      <c r="A68" s="10" t="inlineStr">
        <is>
          <t>Team &amp; Productivity</t>
        </is>
      </c>
      <c r="B68" s="10" t="inlineStr">
        <is>
          <t>reps_hit_quota_first_full_ramp</t>
        </is>
      </c>
      <c r="C68" s="10" t="inlineStr">
        <is>
          <t>Reps Hitting Quota in First Fully Ramped Period</t>
        </is>
      </c>
      <c r="D68" s="10" t="inlineStr">
        <is>
          <t>Numerator for ramp rate</t>
        </is>
      </c>
      <c r="E68" s="10" t="inlineStr">
        <is>
          <t>Optional</t>
        </is>
      </c>
      <c r="F68" s="11" t="n">
        <v>0</v>
      </c>
    </row>
    <row r="69" ht="18" customHeight="1">
      <c r="A69" s="9" t="inlineStr">
        <is>
          <t>Planning / Forecast</t>
        </is>
      </c>
      <c r="B69" s="9" t="inlineStr">
        <is>
          <t>plan_net_new_bookings</t>
        </is>
      </c>
      <c r="C69" s="9" t="inlineStr">
        <is>
          <t>Plan Net New Bookings</t>
        </is>
      </c>
      <c r="D69" s="9" t="inlineStr">
        <is>
          <t>Budgeted net new bookings</t>
        </is>
      </c>
      <c r="E69" s="9" t="inlineStr">
        <is>
          <t>Optional</t>
        </is>
      </c>
      <c r="F69" s="9" t="n">
        <v>0</v>
      </c>
    </row>
    <row r="70" ht="18" customHeight="1">
      <c r="A70" s="10" t="inlineStr">
        <is>
          <t>Planning / Forecast</t>
        </is>
      </c>
      <c r="B70" s="10" t="inlineStr">
        <is>
          <t>plan_gross_new_bookings</t>
        </is>
      </c>
      <c r="C70" s="10" t="inlineStr">
        <is>
          <t>Plan Gross New Bookings</t>
        </is>
      </c>
      <c r="D70" s="10" t="inlineStr">
        <is>
          <t>Budgeted gross new bookings</t>
        </is>
      </c>
      <c r="E70" s="10" t="inlineStr">
        <is>
          <t>Optional</t>
        </is>
      </c>
      <c r="F70" s="11" t="n">
        <v>0</v>
      </c>
    </row>
    <row r="71" ht="18" customHeight="1">
      <c r="A71" s="12" t="inlineStr">
        <is>
          <t>Planning / Forecast</t>
        </is>
      </c>
      <c r="B71" s="12" t="inlineStr">
        <is>
          <t>plan_ending_arr</t>
        </is>
      </c>
      <c r="C71" s="12" t="inlineStr">
        <is>
          <t>Plan Ending ARR</t>
        </is>
      </c>
      <c r="D71" s="12" t="inlineStr">
        <is>
          <t>Budgeted ending ARR</t>
        </is>
      </c>
      <c r="E71" s="12" t="inlineStr">
        <is>
          <t>Optional</t>
        </is>
      </c>
      <c r="F71" s="11" t="n">
        <v>0</v>
      </c>
    </row>
    <row r="72" ht="18" customHeight="1">
      <c r="A72" s="10" t="inlineStr">
        <is>
          <t>Planning / Forecast</t>
        </is>
      </c>
      <c r="B72" s="10" t="inlineStr">
        <is>
          <t>actual_yoy_arr_growth_pct</t>
        </is>
      </c>
      <c r="C72" s="10" t="inlineStr">
        <is>
          <t>Actual YoY ARR Growth %</t>
        </is>
      </c>
      <c r="D72" s="10" t="inlineStr">
        <is>
          <t>If actual growth already calculated</t>
        </is>
      </c>
      <c r="E72" s="10" t="inlineStr">
        <is>
          <t>Optional</t>
        </is>
      </c>
      <c r="F72" s="11" t="n">
        <v>0</v>
      </c>
    </row>
    <row r="73" ht="18" customHeight="1">
      <c r="A73" s="12" t="inlineStr">
        <is>
          <t>Planning / Forecast</t>
        </is>
      </c>
      <c r="B73" s="12" t="inlineStr">
        <is>
          <t>plan_yoy_arr_growth_pct</t>
        </is>
      </c>
      <c r="C73" s="12" t="inlineStr">
        <is>
          <t>Plan YoY ARR Growth %</t>
        </is>
      </c>
      <c r="D73" s="12" t="inlineStr">
        <is>
          <t>Budgeted YoY ARR growth</t>
        </is>
      </c>
      <c r="E73" s="12" t="inlineStr">
        <is>
          <t>Optional</t>
        </is>
      </c>
      <c r="F73" s="11" t="n">
        <v>0</v>
      </c>
    </row>
    <row r="74" ht="18" customHeight="1">
      <c r="A74" s="10" t="inlineStr">
        <is>
          <t>Planning / Forecast</t>
        </is>
      </c>
      <c r="B74" s="10" t="inlineStr">
        <is>
          <t>actual_fcf</t>
        </is>
      </c>
      <c r="C74" s="10" t="inlineStr">
        <is>
          <t>Actual Free Cash Flow</t>
        </is>
      </c>
      <c r="D74" s="10" t="inlineStr">
        <is>
          <t>Optional</t>
        </is>
      </c>
      <c r="E74" s="10" t="n">
        <v>0</v>
      </c>
    </row>
    <row r="75" ht="18" customHeight="1">
      <c r="A75" s="12" t="inlineStr">
        <is>
          <t>Planning / Forecast</t>
        </is>
      </c>
      <c r="B75" s="12" t="inlineStr">
        <is>
          <t>plan_fcf</t>
        </is>
      </c>
      <c r="C75" s="12" t="inlineStr">
        <is>
          <t>Plan Free Cash Flow</t>
        </is>
      </c>
      <c r="D75" s="12" t="inlineStr">
        <is>
          <t>Optional</t>
        </is>
      </c>
      <c r="E75" s="12" t="n">
        <v>0</v>
      </c>
    </row>
    <row r="76" ht="18" customHeight="1">
      <c r="A76" s="10" t="inlineStr">
        <is>
          <t>Planning / Forecast</t>
        </is>
      </c>
      <c r="B76" s="10" t="inlineStr">
        <is>
          <t>revenue_guidance</t>
        </is>
      </c>
      <c r="C76" s="10" t="inlineStr">
        <is>
          <t>Revenue Guidance</t>
        </is>
      </c>
      <c r="D76" s="10" t="inlineStr">
        <is>
          <t>Management guidance</t>
        </is>
      </c>
      <c r="E76" s="10" t="inlineStr">
        <is>
          <t>Optional</t>
        </is>
      </c>
      <c r="F76" s="11" t="n">
        <v>0</v>
      </c>
    </row>
    <row r="77" ht="18" customHeight="1">
      <c r="A77" s="12" t="inlineStr">
        <is>
          <t>Planning / Forecast</t>
        </is>
      </c>
      <c r="B77" s="12" t="inlineStr">
        <is>
          <t>consensus_estimate</t>
        </is>
      </c>
      <c r="C77" s="12" t="inlineStr">
        <is>
          <t>Consensus Estimate</t>
        </is>
      </c>
      <c r="D77" s="12" t="inlineStr">
        <is>
          <t>Public-company context only</t>
        </is>
      </c>
      <c r="E77" s="12" t="inlineStr">
        <is>
          <t>Optional</t>
        </is>
      </c>
      <c r="F77" s="11" t="n">
        <v>0</v>
      </c>
    </row>
  </sheetData>
  <autoFilter ref="A1:G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280F4"/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10" customWidth="1" min="4" max="4"/>
    <col width="38" customWidth="1" min="5" max="5"/>
    <col width="38" customWidth="1" min="6" max="6"/>
    <col width="18" customWidth="1" min="7" max="7"/>
    <col width="24" customWidth="1" min="8" max="8"/>
  </cols>
  <sheetData>
    <row r="1" ht="22" customHeight="1">
      <c r="A1" s="7" t="inlineStr">
        <is>
          <t>Metric Family</t>
        </is>
      </c>
      <c r="B1" s="7" t="inlineStr">
        <is>
          <t>Metric Key</t>
        </is>
      </c>
      <c r="C1" s="7" t="inlineStr">
        <is>
          <t>Metric Name</t>
        </is>
      </c>
      <c r="D1" s="7" t="inlineStr">
        <is>
          <t>Type</t>
        </is>
      </c>
      <c r="E1" s="7" t="inlineStr">
        <is>
          <t>Formula / Logic</t>
        </is>
      </c>
      <c r="F1" s="7" t="inlineStr">
        <is>
          <t>Required Inputs</t>
        </is>
      </c>
      <c r="G1" s="7" t="inlineStr">
        <is>
          <t>Calculated Value</t>
        </is>
      </c>
      <c r="H1" s="7" t="inlineStr">
        <is>
          <t>Comments</t>
        </is>
      </c>
    </row>
    <row r="2" ht="18" customHeight="1">
      <c r="A2" s="9" t="inlineStr">
        <is>
          <t>Growth Drivers</t>
        </is>
      </c>
      <c r="B2" s="9" t="inlineStr">
        <is>
          <t>gross_new_arr</t>
        </is>
      </c>
      <c r="C2" s="9" t="inlineStr">
        <is>
          <t>Gross New ARR</t>
        </is>
      </c>
      <c r="D2" s="9" t="inlineStr">
        <is>
          <t>Derived</t>
        </is>
      </c>
      <c r="E2" s="9" t="inlineStr">
        <is>
          <t>New Logo ARR + Expansion ARR</t>
        </is>
      </c>
      <c r="F2" s="9" t="inlineStr">
        <is>
          <t>new_logo_arr, expansion_arr</t>
        </is>
      </c>
      <c r="G2" s="13">
        <f>IF(COUNTIF(Input_Fields!$B:$B,"new_logo_arr")*COUNTIF(Input_Fields!$B:$B,"expansion_arr")=0,"",XLOOKUP("new_logo_arr",Input_Fields!$B:$B,Input_Fields!$F:$F,"")+XLOOKUP("expansion_arr",Input_Fields!$B:$B,Input_Fields!$F:$F,""))</f>
        <v/>
      </c>
      <c r="H2" s="9" t="inlineStr"/>
    </row>
    <row r="3" ht="18" customHeight="1">
      <c r="A3" s="10" t="inlineStr">
        <is>
          <t>Growth Drivers</t>
        </is>
      </c>
      <c r="B3" s="10" t="inlineStr">
        <is>
          <t>churned_arr</t>
        </is>
      </c>
      <c r="C3" s="10" t="inlineStr">
        <is>
          <t>Churned ARR</t>
        </is>
      </c>
      <c r="D3" s="10" t="inlineStr">
        <is>
          <t>Derived</t>
        </is>
      </c>
      <c r="E3" s="10" t="inlineStr">
        <is>
          <t>Downsell ARR + Logo Churn ARR</t>
        </is>
      </c>
      <c r="F3" s="10" t="inlineStr">
        <is>
          <t>downsell_arr, logo_churn_arr</t>
        </is>
      </c>
      <c r="G3" s="14">
        <f>IF(COUNTIF(Input_Fields!$B:$B,"downsell_arr")*COUNTIF(Input_Fields!$B:$B,"logo_churn_arr")=0,"",XLOOKUP("downsell_arr",Input_Fields!$B:$B,Input_Fields!$F:$F,"")+XLOOKUP("logo_churn_arr",Input_Fields!$B:$B,Input_Fields!$F:$F,""))</f>
        <v/>
      </c>
      <c r="H3" s="10" t="inlineStr"/>
    </row>
    <row r="4" ht="18" customHeight="1">
      <c r="A4" s="12" t="inlineStr">
        <is>
          <t>Growth Drivers</t>
        </is>
      </c>
      <c r="B4" s="12" t="inlineStr">
        <is>
          <t>net_new_arr</t>
        </is>
      </c>
      <c r="C4" s="12" t="inlineStr">
        <is>
          <t>Net New ARR</t>
        </is>
      </c>
      <c r="D4" s="12" t="inlineStr">
        <is>
          <t>Derived</t>
        </is>
      </c>
      <c r="E4" s="12" t="inlineStr">
        <is>
          <t>Gross New ARR - Churned ARR</t>
        </is>
      </c>
      <c r="F4" s="12" t="inlineStr">
        <is>
          <t>new_logo_arr, expansion_arr, downsell_arr, logo_churn_arr</t>
        </is>
      </c>
      <c r="G4" s="15">
        <f>IFERROR(G2-G3,"")</f>
        <v/>
      </c>
      <c r="H4" s="12" t="inlineStr"/>
    </row>
    <row r="5" ht="18" customHeight="1">
      <c r="A5" s="10" t="inlineStr">
        <is>
          <t>Growth Drivers</t>
        </is>
      </c>
      <c r="B5" s="10" t="inlineStr">
        <is>
          <t>ending_arr_calc</t>
        </is>
      </c>
      <c r="C5" s="10" t="inlineStr">
        <is>
          <t>Ending ARR (Calculated)</t>
        </is>
      </c>
      <c r="D5" s="10" t="inlineStr">
        <is>
          <t>Derived</t>
        </is>
      </c>
      <c r="E5" s="10" t="inlineStr">
        <is>
          <t>Beginning ARR + Net New ARR</t>
        </is>
      </c>
      <c r="F5" s="10" t="inlineStr">
        <is>
          <t>beginning_arr, new_logo_arr, expansion_arr, downsell_arr, logo_churn_arr</t>
        </is>
      </c>
      <c r="G5" s="16">
        <f>IFERROR(XLOOKUP("beginning_arr",Input_Fields!$B:$B,Input_Fields!$F:$F,"")+G4,"")</f>
        <v/>
      </c>
      <c r="H5" s="10" t="inlineStr"/>
    </row>
    <row r="6" ht="18" customHeight="1">
      <c r="A6" s="12" t="inlineStr">
        <is>
          <t>Growth Drivers</t>
        </is>
      </c>
      <c r="B6" s="12" t="inlineStr">
        <is>
          <t>arr_growth_yoy</t>
        </is>
      </c>
      <c r="C6" s="12" t="inlineStr">
        <is>
          <t>ARR Growth YoY %</t>
        </is>
      </c>
      <c r="D6" s="12" t="inlineStr">
        <is>
          <t>Derived</t>
        </is>
      </c>
      <c r="E6" s="12" t="inlineStr">
        <is>
          <t>((EOP ARR / EOP ARR 12 months ago) - 1) * 100</t>
        </is>
      </c>
      <c r="F6" s="12" t="inlineStr">
        <is>
          <t>Requires prior-year EOP ARR upload</t>
        </is>
      </c>
      <c r="G6" s="15" t="inlineStr"/>
      <c r="H6" s="12" t="inlineStr"/>
    </row>
    <row r="7" ht="18" customHeight="1">
      <c r="A7" s="10" t="inlineStr">
        <is>
          <t>Growth Drivers</t>
        </is>
      </c>
      <c r="B7" s="10" t="inlineStr">
        <is>
          <t>new_logo_mix</t>
        </is>
      </c>
      <c r="C7" s="10" t="inlineStr">
        <is>
          <t>% Gross New ARR from New Logo</t>
        </is>
      </c>
      <c r="D7" s="10" t="inlineStr">
        <is>
          <t>Derived</t>
        </is>
      </c>
      <c r="E7" s="10" t="inlineStr">
        <is>
          <t>New Logo ARR / Gross New ARR</t>
        </is>
      </c>
      <c r="F7" s="10" t="inlineStr">
        <is>
          <t>new_logo_arr, expansion_arr</t>
        </is>
      </c>
      <c r="G7" s="14">
        <f>IFERROR(XLOOKUP("new_logo_arr",Input_Fields!$B:$B,Input_Fields!$F:$F,"")/G2,"")</f>
        <v/>
      </c>
      <c r="H7" s="10" t="inlineStr"/>
    </row>
    <row r="8" ht="18" customHeight="1">
      <c r="A8" s="12" t="inlineStr">
        <is>
          <t>Growth Drivers</t>
        </is>
      </c>
      <c r="B8" s="12" t="inlineStr">
        <is>
          <t>expansion_mix</t>
        </is>
      </c>
      <c r="C8" s="12" t="inlineStr">
        <is>
          <t>% Gross New ARR from Expansion</t>
        </is>
      </c>
      <c r="D8" s="12" t="inlineStr">
        <is>
          <t>Derived</t>
        </is>
      </c>
      <c r="E8" s="12" t="inlineStr">
        <is>
          <t>Expansion ARR / Gross New ARR</t>
        </is>
      </c>
      <c r="F8" s="12" t="inlineStr">
        <is>
          <t>new_logo_arr, expansion_arr</t>
        </is>
      </c>
      <c r="G8" s="17">
        <f>IFERROR(XLOOKUP("expansion_arr",Input_Fields!$B:$B,Input_Fields!$F:$F,"")/G2,"")</f>
        <v/>
      </c>
      <c r="H8" s="12" t="inlineStr"/>
    </row>
    <row r="9" ht="18" customHeight="1">
      <c r="A9" s="9" t="inlineStr">
        <is>
          <t>Sales Funnel</t>
        </is>
      </c>
      <c r="B9" s="9" t="inlineStr">
        <is>
          <t>pipeline_coverage</t>
        </is>
      </c>
      <c r="C9" s="9" t="inlineStr">
        <is>
          <t>Pipeline Coverage</t>
        </is>
      </c>
      <c r="D9" s="9" t="inlineStr">
        <is>
          <t>Derived</t>
        </is>
      </c>
      <c r="E9" s="9" t="inlineStr">
        <is>
          <t>Pipeline $ / Sales Target</t>
        </is>
      </c>
      <c r="F9" s="9" t="inlineStr">
        <is>
          <t>pipeline_dollars, sales_target</t>
        </is>
      </c>
      <c r="G9" s="18">
        <f>IFERROR(XLOOKUP("pipeline_dollars",Input_Fields!$B:$B,Input_Fields!$F:$F,"")/XLOOKUP("sales_target",Input_Fields!$B:$B,Input_Fields!$F:$F,""),"")</f>
        <v/>
      </c>
      <c r="H9" s="9" t="inlineStr"/>
    </row>
    <row r="10" ht="18" customHeight="1">
      <c r="A10" s="10" t="inlineStr">
        <is>
          <t>Sales Funnel</t>
        </is>
      </c>
      <c r="B10" s="10" t="inlineStr">
        <is>
          <t>weighted_pipeline_coverage</t>
        </is>
      </c>
      <c r="C10" s="10" t="inlineStr">
        <is>
          <t>Weighted Pipeline Coverage</t>
        </is>
      </c>
      <c r="D10" s="10" t="inlineStr">
        <is>
          <t>Derived</t>
        </is>
      </c>
      <c r="E10" s="10" t="inlineStr">
        <is>
          <t>Weighted Pipeline $ / Sales Target</t>
        </is>
      </c>
      <c r="F10" s="10" t="inlineStr">
        <is>
          <t>weighted_pipeline_dollars, sales_target</t>
        </is>
      </c>
      <c r="G10" s="14">
        <f>IFERROR(XLOOKUP("weighted_pipeline_dollars",Input_Fields!$B:$B,Input_Fields!$F:$F,"")/XLOOKUP("sales_target",Input_Fields!$B:$B,Input_Fields!$F:$F,""),"")</f>
        <v/>
      </c>
      <c r="H10" s="10" t="inlineStr"/>
    </row>
    <row r="11" ht="18" customHeight="1">
      <c r="A11" s="12" t="inlineStr">
        <is>
          <t>Sales Funnel</t>
        </is>
      </c>
      <c r="B11" s="12" t="inlineStr">
        <is>
          <t>win_rate</t>
        </is>
      </c>
      <c r="C11" s="12" t="inlineStr">
        <is>
          <t>Win Rate</t>
        </is>
      </c>
      <c r="D11" s="12" t="inlineStr">
        <is>
          <t>Derived</t>
        </is>
      </c>
      <c r="E11" s="12" t="inlineStr">
        <is>
          <t>Closed Won / (Closed Won + Closed Lost)</t>
        </is>
      </c>
      <c r="F11" s="12" t="inlineStr">
        <is>
          <t>closed_won_opportunities, closed_lost_opportunities</t>
        </is>
      </c>
      <c r="G11" s="17">
        <f>IFERROR(XLOOKUP("closed_won_opportunities",Input_Fields!$B:$B,Input_Fields!$F:$F,"")/(XLOOKUP("closed_won_opportunities",Input_Fields!$B:$B,Input_Fields!$F:$F,"")+XLOOKUP("closed_lost_opportunities",Input_Fields!$B:$B,Input_Fields!$F:$F,"")),"")</f>
        <v/>
      </c>
      <c r="H11" s="12" t="inlineStr"/>
    </row>
    <row r="12" ht="18" customHeight="1">
      <c r="A12" s="10" t="inlineStr">
        <is>
          <t>Sales Funnel</t>
        </is>
      </c>
      <c r="B12" s="10" t="inlineStr">
        <is>
          <t>close_rate</t>
        </is>
      </c>
      <c r="C12" s="10" t="inlineStr">
        <is>
          <t>Close Rate</t>
        </is>
      </c>
      <c r="D12" s="10" t="inlineStr">
        <is>
          <t>Derived</t>
        </is>
      </c>
      <c r="E12" s="10" t="inlineStr">
        <is>
          <t>Closed Won in same period / Opportunities created in period</t>
        </is>
      </c>
      <c r="F12" s="10" t="inlineStr">
        <is>
          <t>closed_won_same_period, opportunities_created</t>
        </is>
      </c>
      <c r="G12" s="14">
        <f>IFERROR(XLOOKUP("closed_won_same_period",Input_Fields!$B:$B,Input_Fields!$F:$F,"")/XLOOKUP("opportunities_created",Input_Fields!$B:$B,Input_Fields!$F:$F,""),"")</f>
        <v/>
      </c>
      <c r="H12" s="10" t="inlineStr"/>
    </row>
    <row r="13" ht="18" customHeight="1">
      <c r="A13" s="12" t="inlineStr">
        <is>
          <t>Sales Funnel</t>
        </is>
      </c>
      <c r="B13" s="12" t="inlineStr">
        <is>
          <t>sql_to_closed_won</t>
        </is>
      </c>
      <c r="C13" s="12" t="inlineStr">
        <is>
          <t>SQL to Closed Won</t>
        </is>
      </c>
      <c r="D13" s="12" t="inlineStr">
        <is>
          <t>Derived</t>
        </is>
      </c>
      <c r="E13" s="12" t="inlineStr">
        <is>
          <t>Closed Won SQLs / SQL Count</t>
        </is>
      </c>
      <c r="F13" s="12" t="inlineStr">
        <is>
          <t>closed_won_sql, sql_count</t>
        </is>
      </c>
      <c r="G13" s="19">
        <f>IFERROR(XLOOKUP("closed_won_sql",Input_Fields!$B:$B,Input_Fields!$F:$F,"")/XLOOKUP("sql_count",Input_Fields!$B:$B,Input_Fields!$F:$F,""),"")</f>
        <v/>
      </c>
      <c r="H13" s="12" t="inlineStr"/>
    </row>
    <row r="14" ht="18" customHeight="1">
      <c r="A14" s="10" t="inlineStr">
        <is>
          <t>Sales Funnel</t>
        </is>
      </c>
      <c r="B14" s="10" t="inlineStr">
        <is>
          <t>forecast_pct_target</t>
        </is>
      </c>
      <c r="C14" s="10" t="inlineStr">
        <is>
          <t>Forecast as % of Sales Target</t>
        </is>
      </c>
      <c r="D14" s="10" t="inlineStr">
        <is>
          <t>Derived</t>
        </is>
      </c>
      <c r="E14" s="10" t="inlineStr">
        <is>
          <t>Forecast $ / Sales Target</t>
        </is>
      </c>
      <c r="F14" s="10" t="inlineStr">
        <is>
          <t>forecast_dollars, sales_target</t>
        </is>
      </c>
      <c r="G14" s="14">
        <f>IFERROR(XLOOKUP("forecast_dollars",Input_Fields!$B:$B,Input_Fields!$F:$F,"")/XLOOKUP("sales_target",Input_Fields!$B:$B,Input_Fields!$F:$F,""),"")</f>
        <v/>
      </c>
      <c r="H14" s="10" t="inlineStr"/>
    </row>
    <row r="15" ht="18" customHeight="1">
      <c r="A15" s="9" t="inlineStr">
        <is>
          <t>Retention</t>
        </is>
      </c>
      <c r="B15" s="9" t="inlineStr">
        <is>
          <t>quarterly_ndr</t>
        </is>
      </c>
      <c r="C15" s="9" t="inlineStr">
        <is>
          <t>Quarterly Annualized NDR</t>
        </is>
      </c>
      <c r="D15" s="9" t="inlineStr">
        <is>
          <t>Derived</t>
        </is>
      </c>
      <c r="E15" s="9" t="inlineStr">
        <is>
          <t>1 + ((Quarter Expansion ARR - Quarter Churned ARR) * 4) / avg(BOQ ARR + EOQ ARR)</t>
        </is>
      </c>
      <c r="F15" s="9" t="inlineStr">
        <is>
          <t>beginning_arr, ending_arr or calculated ending arr, expansion_arr, downsell_arr, logo_churn_arr</t>
        </is>
      </c>
      <c r="G15" s="18">
        <f>IFERROR(1+(((XLOOKUP("expansion_arr",Input_Fields!$B:$B,Input_Fields!$F:$F,"")-(XLOOKUP("downsell_arr",Input_Fields!$B:$B,Input_Fields!$F:$F,"")+XLOOKUP("logo_churn_arr",Input_Fields!$B:$B,Input_Fields!$F:$F,"")))*4)/AVERAGE(XLOOKUP("beginning_arr",Input_Fields!$B:$B,Input_Fields!$F:$F,""),IF(XLOOKUP("ending_arr",Input_Fields!$B:$B,Input_Fields!$F:$F,"")="",G5,XLOOKUP("ending_arr",Input_Fields!$B:$B,Input_Fields!$F:$F,"")))),"")</f>
        <v/>
      </c>
      <c r="H15" s="9" t="inlineStr"/>
    </row>
    <row r="16" ht="18" customHeight="1">
      <c r="A16" s="10" t="inlineStr">
        <is>
          <t>Retention</t>
        </is>
      </c>
      <c r="B16" s="10" t="inlineStr">
        <is>
          <t>quarterly_gdr</t>
        </is>
      </c>
      <c r="C16" s="10" t="inlineStr">
        <is>
          <t>Quarterly Annualized GDR</t>
        </is>
      </c>
      <c r="D16" s="10" t="inlineStr">
        <is>
          <t>Derived</t>
        </is>
      </c>
      <c r="E16" s="10" t="inlineStr">
        <is>
          <t>1 - (Quarter Gross Churned ARR * 4) / avg(BOQ ARR + EOQ ARR)</t>
        </is>
      </c>
      <c r="F16" s="10" t="inlineStr">
        <is>
          <t>beginning_arr, ending_arr or calculated ending arr, downsell_arr, logo_churn_arr</t>
        </is>
      </c>
      <c r="G16" s="14">
        <f>IFERROR(1-((((XLOOKUP("downsell_arr",Input_Fields!$B:$B,Input_Fields!$F:$F,"")+XLOOKUP("logo_churn_arr",Input_Fields!$B:$B,Input_Fields!$F:$F,""))*4)/AVERAGE(XLOOKUP("beginning_arr",Input_Fields!$B:$B,Input_Fields!$F:$F,""),IF(XLOOKUP("ending_arr",Input_Fields!$B:$B,Input_Fields!$F:$F,"")="",G5,XLOOKUP("ending_arr",Input_Fields!$B:$B,Input_Fields!$F:$F,"")))),"")</f>
        <v/>
      </c>
      <c r="H16" s="10" t="inlineStr"/>
    </row>
    <row r="17" ht="18" customHeight="1">
      <c r="A17" s="12" t="inlineStr">
        <is>
          <t>Retention</t>
        </is>
      </c>
      <c r="B17" s="12" t="inlineStr">
        <is>
          <t>logo_retention</t>
        </is>
      </c>
      <c r="C17" s="12" t="inlineStr">
        <is>
          <t>Logo Retention</t>
        </is>
      </c>
      <c r="D17" s="12" t="inlineStr">
        <is>
          <t>Derived</t>
        </is>
      </c>
      <c r="E17" s="12" t="inlineStr">
        <is>
          <t>1 - Churned Customers / avg(BOP Customers + EOP Customers)</t>
        </is>
      </c>
      <c r="F17" s="12" t="inlineStr">
        <is>
          <t>bop_customers, eop_customers, churned_customers</t>
        </is>
      </c>
      <c r="G17" s="17">
        <f>IFERROR(1-(XLOOKUP("churned_customers",Input_Fields!$B:$B,Input_Fields!$F:$F,"")/AVERAGE(XLOOKUP("bop_customers",Input_Fields!$B:$B,Input_Fields!$F:$F,""),XLOOKUP("eop_customers",Input_Fields!$B:$B,Input_Fields!$F:$F,""))),"")</f>
        <v/>
      </c>
      <c r="H17" s="12" t="inlineStr"/>
    </row>
    <row r="18" ht="18" customHeight="1">
      <c r="A18" s="10" t="inlineStr">
        <is>
          <t>Retention</t>
        </is>
      </c>
      <c r="B18" s="10" t="inlineStr">
        <is>
          <t>logo_churn</t>
        </is>
      </c>
      <c r="C18" s="10" t="inlineStr">
        <is>
          <t>Logo Churn</t>
        </is>
      </c>
      <c r="D18" s="10" t="inlineStr">
        <is>
          <t>Derived</t>
        </is>
      </c>
      <c r="E18" s="10" t="inlineStr">
        <is>
          <t>Churned Customers / avg(BOP Customers + EOP Customers)</t>
        </is>
      </c>
      <c r="F18" s="10" t="inlineStr">
        <is>
          <t>bop_customers, eop_customers, churned_customers</t>
        </is>
      </c>
      <c r="G18" s="14">
        <f>IFERROR(XLOOKUP("churned_customers",Input_Fields!$B:$B,Input_Fields!$F:$F,"")/AVERAGE(XLOOKUP("bop_customers",Input_Fields!$B:$B,Input_Fields!$F:$F,""),XLOOKUP("eop_customers",Input_Fields!$B:$B,Input_Fields!$F:$F,"")),"")</f>
        <v/>
      </c>
      <c r="H18" s="10" t="inlineStr"/>
    </row>
    <row r="19" ht="18" customHeight="1">
      <c r="A19" s="12" t="inlineStr">
        <is>
          <t>Retention</t>
        </is>
      </c>
      <c r="B19" s="12" t="inlineStr">
        <is>
          <t>dau_rate</t>
        </is>
      </c>
      <c r="C19" s="12" t="inlineStr">
        <is>
          <t>DAU Rate</t>
        </is>
      </c>
      <c r="D19" s="12" t="inlineStr">
        <is>
          <t>Derived</t>
        </is>
      </c>
      <c r="E19" s="12" t="inlineStr">
        <is>
          <t>DAU / Total Users</t>
        </is>
      </c>
      <c r="F19" s="12" t="inlineStr">
        <is>
          <t>dau, total_users</t>
        </is>
      </c>
      <c r="G19" s="17">
        <f>IFERROR(XLOOKUP("dau",Input_Fields!$B:$B,Input_Fields!$F:$F,"")/XLOOKUP("total_users",Input_Fields!$B:$B,Input_Fields!$F:$F,""),"")</f>
        <v/>
      </c>
      <c r="H19" s="12" t="inlineStr"/>
    </row>
    <row r="20" ht="18" customHeight="1">
      <c r="A20" s="10" t="inlineStr">
        <is>
          <t>Retention</t>
        </is>
      </c>
      <c r="B20" s="10" t="inlineStr">
        <is>
          <t>mau_rate</t>
        </is>
      </c>
      <c r="C20" s="10" t="inlineStr">
        <is>
          <t>MAU Rate</t>
        </is>
      </c>
      <c r="D20" s="10" t="inlineStr">
        <is>
          <t>Derived</t>
        </is>
      </c>
      <c r="E20" s="10" t="inlineStr">
        <is>
          <t>MAU / Total Users</t>
        </is>
      </c>
      <c r="F20" s="10" t="inlineStr">
        <is>
          <t>mau, total_users</t>
        </is>
      </c>
      <c r="G20" s="14">
        <f>IFERROR(XLOOKUP("mau",Input_Fields!$B:$B,Input_Fields!$F:$F,"")/XLOOKUP("total_users",Input_Fields!$B:$B,Input_Fields!$F:$F,""),"")</f>
        <v/>
      </c>
      <c r="H20" s="10" t="inlineStr"/>
    </row>
    <row r="21" ht="18" customHeight="1">
      <c r="A21" s="12" t="inlineStr">
        <is>
          <t>Retention</t>
        </is>
      </c>
      <c r="B21" s="12" t="inlineStr">
        <is>
          <t>adoption_rate</t>
        </is>
      </c>
      <c r="C21" s="12" t="inlineStr">
        <is>
          <t>Adoption Rate</t>
        </is>
      </c>
      <c r="D21" s="12" t="inlineStr">
        <is>
          <t>Derived</t>
        </is>
      </c>
      <c r="E21" s="12" t="inlineStr">
        <is>
          <t>Feature Active Users / Total Users</t>
        </is>
      </c>
      <c r="F21" s="12" t="inlineStr">
        <is>
          <t>feature_active_users, total_users</t>
        </is>
      </c>
      <c r="G21" s="17">
        <f>IFERROR(XLOOKUP("feature_active_users",Input_Fields!$B:$B,Input_Fields!$F:$F,"")/XLOOKUP("total_users",Input_Fields!$B:$B,Input_Fields!$F:$F,""),"")</f>
        <v/>
      </c>
      <c r="H21" s="12" t="inlineStr"/>
    </row>
    <row r="22" ht="18" customHeight="1">
      <c r="A22" s="10" t="inlineStr">
        <is>
          <t>Retention</t>
        </is>
      </c>
      <c r="B22" s="10" t="inlineStr">
        <is>
          <t>stickiness_rate</t>
        </is>
      </c>
      <c r="C22" s="10" t="inlineStr">
        <is>
          <t>Stickiness Rate</t>
        </is>
      </c>
      <c r="D22" s="10" t="inlineStr">
        <is>
          <t>Derived</t>
        </is>
      </c>
      <c r="E22" s="10" t="inlineStr">
        <is>
          <t>DAU / MAU</t>
        </is>
      </c>
      <c r="F22" s="10" t="inlineStr">
        <is>
          <t>dau, mau</t>
        </is>
      </c>
      <c r="G22" s="14">
        <f>IFERROR(XLOOKUP("dau",Input_Fields!$B:$B,Input_Fields!$F:$F,"")/XLOOKUP("mau",Input_Fields!$B:$B,Input_Fields!$F:$F,""),"")</f>
        <v/>
      </c>
      <c r="H22" s="10" t="inlineStr"/>
    </row>
    <row r="23" ht="18" customHeight="1">
      <c r="A23" s="12" t="inlineStr">
        <is>
          <t>Retention</t>
        </is>
      </c>
      <c r="B23" s="12" t="inlineStr">
        <is>
          <t>time_to_implement_vs_goal</t>
        </is>
      </c>
      <c r="C23" s="12" t="inlineStr">
        <is>
          <t>Time to Implement vs Goal</t>
        </is>
      </c>
      <c r="D23" s="12" t="inlineStr">
        <is>
          <t>Derived</t>
        </is>
      </c>
      <c r="E23" s="12" t="inlineStr">
        <is>
          <t>Actual Implementation Days / Expected Implementation Days</t>
        </is>
      </c>
      <c r="F23" s="12" t="inlineStr">
        <is>
          <t>actual_implementation_days, expected_implementation_days</t>
        </is>
      </c>
      <c r="G23" s="19">
        <f>IFERROR(XLOOKUP("actual_implementation_days",Input_Fields!$B:$B,Input_Fields!$F:$F,"")/XLOOKUP("expected_implementation_days",Input_Fields!$B:$B,Input_Fields!$F:$F,""),"")</f>
        <v/>
      </c>
      <c r="H23" s="12" t="inlineStr"/>
    </row>
    <row r="24" ht="18" customHeight="1">
      <c r="A24" s="10" t="inlineStr">
        <is>
          <t>Retention</t>
        </is>
      </c>
      <c r="B24" s="10" t="inlineStr">
        <is>
          <t>nps</t>
        </is>
      </c>
      <c r="C24" s="10" t="inlineStr">
        <is>
          <t>NPS</t>
        </is>
      </c>
      <c r="D24" s="10" t="inlineStr">
        <is>
          <t>Derived</t>
        </is>
      </c>
      <c r="E24" s="10" t="inlineStr">
        <is>
          <t>Promoter % - Detractor %</t>
        </is>
      </c>
      <c r="F24" s="10" t="inlineStr">
        <is>
          <t>promoter_pct, detractor_pct</t>
        </is>
      </c>
      <c r="G24" s="20">
        <f>IFERROR(XLOOKUP("promoter_pct",Input_Fields!$B:$B,Input_Fields!$F:$F,"")-XLOOKUP("detractor_pct",Input_Fields!$B:$B,Input_Fields!$F:$F,""),"")</f>
        <v/>
      </c>
      <c r="H24" s="10" t="inlineStr"/>
    </row>
    <row r="25" ht="18" customHeight="1">
      <c r="A25" s="12" t="inlineStr">
        <is>
          <t>Retention</t>
        </is>
      </c>
      <c r="B25" s="12" t="inlineStr">
        <is>
          <t>csat</t>
        </is>
      </c>
      <c r="C25" s="12" t="inlineStr">
        <is>
          <t>CSAT</t>
        </is>
      </c>
      <c r="D25" s="12" t="inlineStr">
        <is>
          <t>Derived</t>
        </is>
      </c>
      <c r="E25" s="12" t="inlineStr">
        <is>
          <t>Satisfied Responses / Total Responses</t>
        </is>
      </c>
      <c r="F25" s="12" t="inlineStr">
        <is>
          <t>satisfied_responses, total_responses</t>
        </is>
      </c>
      <c r="G25" s="17">
        <f>IFERROR(XLOOKUP("satisfied_responses",Input_Fields!$B:$B,Input_Fields!$F:$F,"")/XLOOKUP("total_responses",Input_Fields!$B:$B,Input_Fields!$F:$F,""),"")</f>
        <v/>
      </c>
      <c r="H25" s="12" t="inlineStr"/>
    </row>
    <row r="26" ht="18" customHeight="1">
      <c r="A26" s="9" t="inlineStr">
        <is>
          <t>Efficiency &amp; Economics</t>
        </is>
      </c>
      <c r="B26" s="9" t="inlineStr">
        <is>
          <t>gross_margin</t>
        </is>
      </c>
      <c r="C26" s="9" t="inlineStr">
        <is>
          <t>Gross Margin</t>
        </is>
      </c>
      <c r="D26" s="9" t="inlineStr">
        <is>
          <t>Derived</t>
        </is>
      </c>
      <c r="E26" s="9" t="inlineStr">
        <is>
          <t>Gross Profit / Total Revenue</t>
        </is>
      </c>
      <c r="F26" s="9" t="inlineStr">
        <is>
          <t>gross_profit, total_revenue</t>
        </is>
      </c>
      <c r="G26" s="18">
        <f>IFERROR(XLOOKUP("gross_profit",Input_Fields!$B:$B,Input_Fields!$F:$F,"")/XLOOKUP("total_revenue",Input_Fields!$B:$B,Input_Fields!$F:$F,""),"")</f>
        <v/>
      </c>
      <c r="H26" s="9" t="inlineStr"/>
    </row>
    <row r="27" ht="18" customHeight="1">
      <c r="A27" s="10" t="inlineStr">
        <is>
          <t>Efficiency &amp; Economics</t>
        </is>
      </c>
      <c r="B27" s="10" t="inlineStr">
        <is>
          <t>subscription_gm</t>
        </is>
      </c>
      <c r="C27" s="10" t="inlineStr">
        <is>
          <t>Subscription Gross Margin</t>
        </is>
      </c>
      <c r="D27" s="10" t="inlineStr">
        <is>
          <t>Derived</t>
        </is>
      </c>
      <c r="E27" s="10" t="inlineStr">
        <is>
          <t>Subscription Gross Profit / Subscription Revenue</t>
        </is>
      </c>
      <c r="F27" s="10" t="inlineStr">
        <is>
          <t>subscription_gross_profit, subscription_revenue</t>
        </is>
      </c>
      <c r="G27" s="20">
        <f>IFERROR(XLOOKUP("subscription_gross_profit",Input_Fields!$B:$B,Input_Fields!$F:$F,"")/XLOOKUP("subscription_revenue",Input_Fields!$B:$B,Input_Fields!$F:$F,""),"")</f>
        <v/>
      </c>
      <c r="H27" s="10" t="inlineStr"/>
    </row>
    <row r="28" ht="18" customHeight="1">
      <c r="A28" s="12" t="inlineStr">
        <is>
          <t>Efficiency &amp; Economics</t>
        </is>
      </c>
      <c r="B28" s="12" t="inlineStr">
        <is>
          <t>services_gm</t>
        </is>
      </c>
      <c r="C28" s="12" t="inlineStr">
        <is>
          <t>Services Gross Margin</t>
        </is>
      </c>
      <c r="D28" s="12" t="inlineStr">
        <is>
          <t>Derived</t>
        </is>
      </c>
      <c r="E28" s="12" t="inlineStr">
        <is>
          <t>Services Gross Profit / Services Revenue</t>
        </is>
      </c>
      <c r="F28" s="12" t="inlineStr">
        <is>
          <t>services_gross_profit, services_revenue</t>
        </is>
      </c>
      <c r="G28" s="19">
        <f>IFERROR(XLOOKUP("services_gross_profit",Input_Fields!$B:$B,Input_Fields!$F:$F,"")/XLOOKUP("services_revenue",Input_Fields!$B:$B,Input_Fields!$F:$F,""),"")</f>
        <v/>
      </c>
      <c r="H28" s="12" t="inlineStr"/>
    </row>
    <row r="29" ht="18" customHeight="1">
      <c r="A29" s="10" t="inlineStr">
        <is>
          <t>Efficiency &amp; Economics</t>
        </is>
      </c>
      <c r="B29" s="10" t="inlineStr">
        <is>
          <t>net_magic_number</t>
        </is>
      </c>
      <c r="C29" s="10" t="inlineStr">
        <is>
          <t>Net Magic Number</t>
        </is>
      </c>
      <c r="D29" s="10" t="inlineStr">
        <is>
          <t>Derived</t>
        </is>
      </c>
      <c r="E29" s="10" t="inlineStr">
        <is>
          <t>Current Quarter Net New ARR / Prior Quarter S&amp;M OpEx</t>
        </is>
      </c>
      <c r="F29" s="10" t="inlineStr">
        <is>
          <t>new_logo_arr, expansion_arr, downsell_arr, logo_churn_arr, prior_qtr_sm_opex</t>
        </is>
      </c>
      <c r="G29" s="21">
        <f>IFERROR(G4/XLOOKUP("prior_qtr_sm_opex",Input_Fields!$B:$B,Input_Fields!$F:$F,""),"")</f>
        <v/>
      </c>
      <c r="H29" s="10" t="inlineStr"/>
    </row>
    <row r="30" ht="18" customHeight="1">
      <c r="A30" s="12" t="inlineStr">
        <is>
          <t>Efficiency &amp; Economics</t>
        </is>
      </c>
      <c r="B30" s="12" t="inlineStr">
        <is>
          <t>gross_magic_number</t>
        </is>
      </c>
      <c r="C30" s="12" t="inlineStr">
        <is>
          <t>Gross Magic Number</t>
        </is>
      </c>
      <c r="D30" s="12" t="inlineStr">
        <is>
          <t>Derived</t>
        </is>
      </c>
      <c r="E30" s="12" t="inlineStr">
        <is>
          <t>Current Quarter Gross New ARR / Prior Quarter S&amp;M OpEx</t>
        </is>
      </c>
      <c r="F30" s="12" t="inlineStr">
        <is>
          <t>new_logo_arr, expansion_arr, prior_qtr_sm_opex</t>
        </is>
      </c>
      <c r="G30" s="22">
        <f>IFERROR(G2/XLOOKUP("prior_qtr_sm_opex",Input_Fields!$B:$B,Input_Fields!$F:$F,""),"")</f>
        <v/>
      </c>
      <c r="H30" s="12" t="inlineStr"/>
    </row>
    <row r="31" ht="18" customHeight="1">
      <c r="A31" s="10" t="inlineStr">
        <is>
          <t>Efficiency &amp; Economics</t>
        </is>
      </c>
      <c r="B31" s="10" t="inlineStr">
        <is>
          <t>simple_cac</t>
        </is>
      </c>
      <c r="C31" s="10" t="inlineStr">
        <is>
          <t>Simple CAC</t>
        </is>
      </c>
      <c r="D31" s="10" t="inlineStr">
        <is>
          <t>Derived</t>
        </is>
      </c>
      <c r="E31" s="10" t="inlineStr">
        <is>
          <t>S&amp;M OpEx / Gross New Logo Customers</t>
        </is>
      </c>
      <c r="F31" s="10" t="inlineStr">
        <is>
          <t>sm_opex, gross_new_logo_customers</t>
        </is>
      </c>
      <c r="G31" s="16">
        <f>IFERROR(XLOOKUP("sm_opex",Input_Fields!$B:$B,Input_Fields!$F:$F,"")/XLOOKUP("gross_new_logo_customers",Input_Fields!$B:$B,Input_Fields!$F:$F,""),"")</f>
        <v/>
      </c>
      <c r="H31" s="10" t="inlineStr"/>
    </row>
    <row r="32" ht="18" customHeight="1">
      <c r="A32" s="12" t="inlineStr">
        <is>
          <t>Efficiency &amp; Economics</t>
        </is>
      </c>
      <c r="B32" s="12" t="inlineStr">
        <is>
          <t>time_adjusted_cac</t>
        </is>
      </c>
      <c r="C32" s="12" t="inlineStr">
        <is>
          <t>Time-Adjusted CAC</t>
        </is>
      </c>
      <c r="D32" s="12" t="inlineStr">
        <is>
          <t>Derived</t>
        </is>
      </c>
      <c r="E32" s="12" t="inlineStr">
        <is>
          <t>Prior Quarter S&amp;M OpEx / Gross New Logo Customers This Quarter</t>
        </is>
      </c>
      <c r="F32" s="12" t="inlineStr">
        <is>
          <t>prior_qtr_sm_opex, gross_new_logo_customers</t>
        </is>
      </c>
      <c r="G32" s="15">
        <f>IFERROR(XLOOKUP("prior_qtr_sm_opex",Input_Fields!$B:$B,Input_Fields!$F:$F,"")/XLOOKUP("gross_new_logo_customers",Input_Fields!$B:$B,Input_Fields!$F:$F,""),"")</f>
        <v/>
      </c>
      <c r="H32" s="12" t="inlineStr"/>
    </row>
    <row r="33" ht="18" customHeight="1">
      <c r="A33" s="10" t="inlineStr">
        <is>
          <t>Efficiency &amp; Economics</t>
        </is>
      </c>
      <c r="B33" s="10" t="inlineStr">
        <is>
          <t>simple_ltv</t>
        </is>
      </c>
      <c r="C33" s="10" t="inlineStr">
        <is>
          <t>Simple LTV</t>
        </is>
      </c>
      <c r="D33" s="10" t="inlineStr">
        <is>
          <t>Derived</t>
        </is>
      </c>
      <c r="E33" s="10" t="inlineStr">
        <is>
          <t>(ARR per Customer * Gross Margin) / Logo Churn Rate</t>
        </is>
      </c>
      <c r="F33" s="10" t="inlineStr">
        <is>
          <t>avg_arr_per_customer, gross_margin or gross_margin_pct, logo_churn or provided logo_churn_rate</t>
        </is>
      </c>
      <c r="G33" s="16">
        <f>IFERROR((XLOOKUP("avg_arr_per_customer",Input_Fields!$B:$B,Input_Fields!$F:$F,"")*IF(XLOOKUP("gross_margin_pct",Input_Fields!$B:$B,Input_Fields!$F:$F,"")="",G26,XLOOKUP("gross_margin_pct",Input_Fields!$B:$B,Input_Fields!$F:$F,"")))/IF(XLOOKUP("logo_churn_rate",Input_Fields!$B:$B,Input_Fields!$F:$F,"")="",G18,XLOOKUP("logo_churn_rate",Input_Fields!$B:$B,Input_Fields!$F:$F,"")),"")</f>
        <v/>
      </c>
      <c r="H33" s="10" t="inlineStr"/>
    </row>
    <row r="34" ht="18" customHeight="1">
      <c r="A34" s="12" t="inlineStr">
        <is>
          <t>Efficiency &amp; Economics</t>
        </is>
      </c>
      <c r="B34" s="12" t="inlineStr">
        <is>
          <t>ltv_cac</t>
        </is>
      </c>
      <c r="C34" s="12" t="inlineStr">
        <is>
          <t>LTV / CAC</t>
        </is>
      </c>
      <c r="D34" s="12" t="inlineStr">
        <is>
          <t>Derived</t>
        </is>
      </c>
      <c r="E34" s="12" t="inlineStr">
        <is>
          <t>Customer LTV / Customer Acquisition Cost</t>
        </is>
      </c>
      <c r="F34" s="12" t="inlineStr">
        <is>
          <t>avg_arr_per_customer, margin, churn, sm_opex, gross_new_logo_customers</t>
        </is>
      </c>
      <c r="G34" s="15">
        <f>IFERROR(G33/G31,"")</f>
        <v/>
      </c>
      <c r="H34" s="12" t="inlineStr"/>
    </row>
    <row r="35" ht="18" customHeight="1">
      <c r="A35" s="10" t="inlineStr">
        <is>
          <t>Efficiency &amp; Economics</t>
        </is>
      </c>
      <c r="B35" s="10" t="inlineStr">
        <is>
          <t>payback_period</t>
        </is>
      </c>
      <c r="C35" s="10" t="inlineStr">
        <is>
          <t>Payback Period</t>
        </is>
      </c>
      <c r="D35" s="10" t="inlineStr">
        <is>
          <t>Derived</t>
        </is>
      </c>
      <c r="E35" s="10" t="inlineStr">
        <is>
          <t>CAC / (ARR per Customer * Gross Margin)</t>
        </is>
      </c>
      <c r="F35" s="10" t="inlineStr">
        <is>
          <t>avg_arr_per_customer, margin, sm_opex, gross_new_logo_customers</t>
        </is>
      </c>
      <c r="G35" s="21">
        <f>IFERROR(G31/(XLOOKUP("avg_arr_per_customer",Input_Fields!$B:$B,Input_Fields!$F:$F,"")*IF(XLOOKUP("gross_margin_pct",Input_Fields!$B:$B,Input_Fields!$F:$F,"")="",G26,XLOOKUP("gross_margin_pct",Input_Fields!$B:$B,Input_Fields!$F:$F,""))),"")</f>
        <v/>
      </c>
      <c r="H35" s="10" t="inlineStr"/>
    </row>
    <row r="36" ht="18" customHeight="1">
      <c r="A36" s="9" t="inlineStr">
        <is>
          <t>Team &amp; Productivity</t>
        </is>
      </c>
      <c r="B36" s="9" t="inlineStr">
        <is>
          <t>sm_opex_per_fte</t>
        </is>
      </c>
      <c r="C36" s="9" t="inlineStr">
        <is>
          <t>S&amp;M OpEx per S&amp;M FTE</t>
        </is>
      </c>
      <c r="D36" s="9" t="inlineStr">
        <is>
          <t>Derived</t>
        </is>
      </c>
      <c r="E36" s="9" t="inlineStr">
        <is>
          <t>(Quarter S&amp;M OpEx * 4) / Average S&amp;M FTEs</t>
        </is>
      </c>
      <c r="F36" s="9" t="inlineStr">
        <is>
          <t>sm_opex, avg_sm_ftes</t>
        </is>
      </c>
      <c r="G36" s="13">
        <f>IFERROR((XLOOKUP("sm_opex",Input_Fields!$B:$B,Input_Fields!$F:$F,"")*4)/XLOOKUP("avg_sm_ftes",Input_Fields!$B:$B,Input_Fields!$F:$F,""),"")</f>
        <v/>
      </c>
      <c r="H36" s="9" t="inlineStr"/>
    </row>
    <row r="37" ht="18" customHeight="1">
      <c r="A37" s="10" t="inlineStr">
        <is>
          <t>Team &amp; Productivity</t>
        </is>
      </c>
      <c r="B37" s="10" t="inlineStr">
        <is>
          <t>ae_per_csm</t>
        </is>
      </c>
      <c r="C37" s="10" t="inlineStr">
        <is>
          <t>AE per CSM</t>
        </is>
      </c>
      <c r="D37" s="10" t="inlineStr">
        <is>
          <t>Derived</t>
        </is>
      </c>
      <c r="E37" s="10" t="inlineStr">
        <is>
          <t>Quota-Carrying AEs / CSMs</t>
        </is>
      </c>
      <c r="F37" s="10" t="inlineStr">
        <is>
          <t>qcr_count, csm_count</t>
        </is>
      </c>
      <c r="G37" s="21">
        <f>IFERROR(XLOOKUP("qcr_count",Input_Fields!$B:$B,Input_Fields!$F:$F,"")/XLOOKUP("csm_count",Input_Fields!$B:$B,Input_Fields!$F:$F,""),"")</f>
        <v/>
      </c>
      <c r="H37" s="10" t="inlineStr"/>
    </row>
    <row r="38" ht="18" customHeight="1">
      <c r="A38" s="12" t="inlineStr">
        <is>
          <t>Team &amp; Productivity</t>
        </is>
      </c>
      <c r="B38" s="12" t="inlineStr">
        <is>
          <t>ae_per_manager</t>
        </is>
      </c>
      <c r="C38" s="12" t="inlineStr">
        <is>
          <t>AE per Sales Manager</t>
        </is>
      </c>
      <c r="D38" s="12" t="inlineStr">
        <is>
          <t>Derived</t>
        </is>
      </c>
      <c r="E38" s="12" t="inlineStr">
        <is>
          <t>Quota-Carrying AEs / Sales Managers</t>
        </is>
      </c>
      <c r="F38" s="12" t="inlineStr">
        <is>
          <t>qcr_count, sales_manager_count</t>
        </is>
      </c>
      <c r="G38" s="22">
        <f>IFERROR(XLOOKUP("qcr_count",Input_Fields!$B:$B,Input_Fields!$F:$F,"")/XLOOKUP("sales_manager_count",Input_Fields!$B:$B,Input_Fields!$F:$F,""),"")</f>
        <v/>
      </c>
      <c r="H38" s="12" t="inlineStr"/>
    </row>
    <row r="39" ht="18" customHeight="1">
      <c r="A39" s="10" t="inlineStr">
        <is>
          <t>Team &amp; Productivity</t>
        </is>
      </c>
      <c r="B39" s="10" t="inlineStr">
        <is>
          <t>ae_per_sdr</t>
        </is>
      </c>
      <c r="C39" s="10" t="inlineStr">
        <is>
          <t>AE per SDR</t>
        </is>
      </c>
      <c r="D39" s="10" t="inlineStr">
        <is>
          <t>Derived</t>
        </is>
      </c>
      <c r="E39" s="10" t="inlineStr">
        <is>
          <t>Quota-Carrying AEs / SDRs</t>
        </is>
      </c>
      <c r="F39" s="10" t="inlineStr">
        <is>
          <t>qcr_count, sdr_count</t>
        </is>
      </c>
      <c r="G39" s="21">
        <f>IFERROR(XLOOKUP("qcr_count",Input_Fields!$B:$B,Input_Fields!$F:$F,"")/XLOOKUP("sdr_count",Input_Fields!$B:$B,Input_Fields!$F:$F,""),"")</f>
        <v/>
      </c>
      <c r="H39" s="10" t="inlineStr"/>
    </row>
    <row r="40" ht="18" customHeight="1">
      <c r="A40" s="12" t="inlineStr">
        <is>
          <t>Team &amp; Productivity</t>
        </is>
      </c>
      <c r="B40" s="12" t="inlineStr">
        <is>
          <t>employee_attrition</t>
        </is>
      </c>
      <c r="C40" s="12" t="inlineStr">
        <is>
          <t>Employee Attrition</t>
        </is>
      </c>
      <c r="D40" s="12" t="inlineStr">
        <is>
          <t>Derived</t>
        </is>
      </c>
      <c r="E40" s="12" t="inlineStr">
        <is>
          <t>QCRs Departed / Average QCRs in Period</t>
        </is>
      </c>
      <c r="F40" s="12" t="inlineStr">
        <is>
          <t>qcr_departed, qcr_count</t>
        </is>
      </c>
      <c r="G40" s="19">
        <f>IFERROR(XLOOKUP("qcr_departed",Input_Fields!$B:$B,Input_Fields!$F:$F,"")/XLOOKUP("qcr_count",Input_Fields!$B:$B,Input_Fields!$F:$F,""),"")</f>
        <v/>
      </c>
      <c r="H40" s="12" t="inlineStr"/>
    </row>
    <row r="41" ht="18" customHeight="1">
      <c r="A41" s="10" t="inlineStr">
        <is>
          <t>Team &amp; Productivity</t>
        </is>
      </c>
      <c r="B41" s="10" t="inlineStr">
        <is>
          <t>nnarr_per_sm_fte</t>
        </is>
      </c>
      <c r="C41" s="10" t="inlineStr">
        <is>
          <t>NNARR per S&amp;M FTE</t>
        </is>
      </c>
      <c r="D41" s="10" t="inlineStr">
        <is>
          <t>Derived</t>
        </is>
      </c>
      <c r="E41" s="10" t="inlineStr">
        <is>
          <t>(Net New ARR * 4) / Average S&amp;M FTEs</t>
        </is>
      </c>
      <c r="F41" s="10" t="inlineStr">
        <is>
          <t>new_logo_arr, expansion_arr, downsell_arr, logo_churn_arr, avg_sm_ftes</t>
        </is>
      </c>
      <c r="G41" s="16">
        <f>IFERROR((G4*4)/XLOOKUP("avg_sm_ftes",Input_Fields!$B:$B,Input_Fields!$F:$F,""),"")</f>
        <v/>
      </c>
      <c r="H41" s="10" t="inlineStr"/>
    </row>
    <row r="42" ht="18" customHeight="1">
      <c r="A42" s="12" t="inlineStr">
        <is>
          <t>Team &amp; Productivity</t>
        </is>
      </c>
      <c r="B42" s="12" t="inlineStr">
        <is>
          <t>sales_capacity</t>
        </is>
      </c>
      <c r="C42" s="12" t="inlineStr">
        <is>
          <t>Sales Capacity</t>
        </is>
      </c>
      <c r="D42" s="12" t="inlineStr">
        <is>
          <t>Derived</t>
        </is>
      </c>
      <c r="E42" s="12" t="inlineStr">
        <is>
          <t>Allocated Quota * Quota Attainment % * QCR Retention Rate</t>
        </is>
      </c>
      <c r="F42" s="12" t="inlineStr">
        <is>
          <t>quota_allocated, quota_attained, qcr_retention_rate</t>
        </is>
      </c>
      <c r="G42" s="15">
        <f>IFERROR(XLOOKUP("quota_allocated",Input_Fields!$B:$B,Input_Fields!$F:$F,"")*(XLOOKUP("quota_attained",Input_Fields!$B:$B,Input_Fields!$F:$F,"")/XLOOKUP("quota_allocated",Input_Fields!$B:$B,Input_Fields!$F:$F,""))*XLOOKUP("qcr_retention_rate",Input_Fields!$B:$B,Input_Fields!$F:$F,""),"")</f>
        <v/>
      </c>
      <c r="H42" s="12" t="inlineStr"/>
    </row>
    <row r="43" ht="18" customHeight="1">
      <c r="A43" s="10" t="inlineStr">
        <is>
          <t>Team &amp; Productivity</t>
        </is>
      </c>
      <c r="B43" s="10" t="inlineStr">
        <is>
          <t>capacity_per_qcr</t>
        </is>
      </c>
      <c r="C43" s="10" t="inlineStr">
        <is>
          <t>Capacity per QCR</t>
        </is>
      </c>
      <c r="D43" s="10" t="inlineStr">
        <is>
          <t>Derived</t>
        </is>
      </c>
      <c r="E43" s="10" t="inlineStr">
        <is>
          <t>Sales Capacity / QCR Count</t>
        </is>
      </c>
      <c r="F43" s="10" t="inlineStr">
        <is>
          <t>quota_allocated, quota_attained, qcr_retention_rate, qcr_count</t>
        </is>
      </c>
      <c r="G43" s="16">
        <f>IFERROR(G42/XLOOKUP("qcr_count",Input_Fields!$B:$B,Input_Fields!$F:$F,""),"")</f>
        <v/>
      </c>
      <c r="H43" s="10" t="inlineStr"/>
    </row>
    <row r="44" ht="18" customHeight="1">
      <c r="A44" s="12" t="inlineStr">
        <is>
          <t>Team &amp; Productivity</t>
        </is>
      </c>
      <c r="B44" s="12" t="inlineStr">
        <is>
          <t>net_productivity</t>
        </is>
      </c>
      <c r="C44" s="12" t="inlineStr">
        <is>
          <t>Net Productivity</t>
        </is>
      </c>
      <c r="D44" s="12" t="inlineStr">
        <is>
          <t>Derived</t>
        </is>
      </c>
      <c r="E44" s="12" t="inlineStr">
        <is>
          <t>Net New ARR / Average QCRs</t>
        </is>
      </c>
      <c r="F44" s="12" t="inlineStr">
        <is>
          <t>new_logo_arr, expansion_arr, downsell_arr, logo_churn_arr, qcr_count</t>
        </is>
      </c>
      <c r="G44" s="15">
        <f>IFERROR(G4/XLOOKUP("qcr_count",Input_Fields!$B:$B,Input_Fields!$F:$F,""),"")</f>
        <v/>
      </c>
      <c r="H44" s="12" t="inlineStr"/>
    </row>
    <row r="45" ht="18" customHeight="1">
      <c r="A45" s="10" t="inlineStr">
        <is>
          <t>Team &amp; Productivity</t>
        </is>
      </c>
      <c r="B45" s="10" t="inlineStr">
        <is>
          <t>team_quota_attainment</t>
        </is>
      </c>
      <c r="C45" s="10" t="inlineStr">
        <is>
          <t>Team Quota Attainment</t>
        </is>
      </c>
      <c r="D45" s="10" t="inlineStr">
        <is>
          <t>Derived</t>
        </is>
      </c>
      <c r="E45" s="10" t="inlineStr">
        <is>
          <t>QCRs attaining 100%+ / total QCRs</t>
        </is>
      </c>
      <c r="F45" s="10" t="inlineStr">
        <is>
          <t>qcrs_attaining_100, qcr_count</t>
        </is>
      </c>
      <c r="G45" s="14">
        <f>IFERROR(XLOOKUP("qcrs_attaining_100",Input_Fields!$B:$B,Input_Fields!$F:$F,"")/XLOOKUP("qcr_count",Input_Fields!$B:$B,Input_Fields!$F:$F,""),"")</f>
        <v/>
      </c>
      <c r="H45" s="10" t="inlineStr"/>
    </row>
    <row r="46" ht="18" customHeight="1">
      <c r="A46" s="12" t="inlineStr">
        <is>
          <t>Team &amp; Productivity</t>
        </is>
      </c>
      <c r="B46" s="12" t="inlineStr">
        <is>
          <t>rep_attainment</t>
        </is>
      </c>
      <c r="C46" s="12" t="inlineStr">
        <is>
          <t>Rep Attainment</t>
        </is>
      </c>
      <c r="D46" s="12" t="inlineStr">
        <is>
          <t>Derived</t>
        </is>
      </c>
      <c r="E46" s="12" t="inlineStr">
        <is>
          <t>Quota Attained / Quota Allocated</t>
        </is>
      </c>
      <c r="F46" s="12" t="inlineStr">
        <is>
          <t>quota_attained, quota_allocated</t>
        </is>
      </c>
      <c r="G46" s="17">
        <f>IFERROR(XLOOKUP("quota_attained",Input_Fields!$B:$B,Input_Fields!$F:$F,"")/XLOOKUP("quota_allocated",Input_Fields!$B:$B,Input_Fields!$F:$F,""),"")</f>
        <v/>
      </c>
      <c r="H46" s="12" t="inlineStr"/>
    </row>
    <row r="47" ht="18" customHeight="1">
      <c r="A47" s="10" t="inlineStr">
        <is>
          <t>Team &amp; Productivity</t>
        </is>
      </c>
      <c r="B47" s="10" t="inlineStr">
        <is>
          <t>ramp_rate</t>
        </is>
      </c>
      <c r="C47" s="10" t="inlineStr">
        <is>
          <t>Ramp Rate</t>
        </is>
      </c>
      <c r="D47" s="10" t="inlineStr">
        <is>
          <t>Derived</t>
        </is>
      </c>
      <c r="E47" s="10" t="inlineStr">
        <is>
          <t>Reps hitting quota in first fully ramped period / reps in first fully ramped period</t>
        </is>
      </c>
      <c r="F47" s="10" t="inlineStr">
        <is>
          <t>reps_hit_quota_first_full_ramp, reps_first_full_ramp_period</t>
        </is>
      </c>
      <c r="G47" s="14">
        <f>IFERROR(XLOOKUP("reps_hit_quota_first_full_ramp",Input_Fields!$B:$B,Input_Fields!$F:$F,"")/XLOOKUP("reps_first_full_ramp_period",Input_Fields!$B:$B,Input_Fields!$F:$F,""),"")</f>
        <v/>
      </c>
      <c r="H47" s="10" t="inlineStr"/>
    </row>
    <row r="48" ht="18" customHeight="1">
      <c r="A48" s="9" t="inlineStr">
        <is>
          <t>Fiscal Maturity</t>
        </is>
      </c>
      <c r="B48" s="9" t="inlineStr">
        <is>
          <t>net_new_bookings_attainment</t>
        </is>
      </c>
      <c r="C48" s="9" t="inlineStr">
        <is>
          <t>Net New Bookings Attainment</t>
        </is>
      </c>
      <c r="D48" s="9" t="inlineStr">
        <is>
          <t>Derived</t>
        </is>
      </c>
      <c r="E48" s="9" t="inlineStr">
        <is>
          <t>Actual Net New Bookings / Plan Net New Bookings</t>
        </is>
      </c>
      <c r="F48" s="9" t="inlineStr">
        <is>
          <t>net new ARR approximation or actual net bookings, plan_net_new_bookings</t>
        </is>
      </c>
      <c r="G48" s="18">
        <f>IFERROR(G4/XLOOKUP("plan_net_new_bookings",Input_Fields!$B:$B,Input_Fields!$F:$F,""),"")</f>
        <v/>
      </c>
      <c r="H48" s="9" t="inlineStr"/>
    </row>
    <row r="49" ht="18" customHeight="1">
      <c r="A49" s="10" t="inlineStr">
        <is>
          <t>Fiscal Maturity</t>
        </is>
      </c>
      <c r="B49" s="10" t="inlineStr">
        <is>
          <t>gross_new_bookings_attainment</t>
        </is>
      </c>
      <c r="C49" s="10" t="inlineStr">
        <is>
          <t>Gross New Bookings Attainment</t>
        </is>
      </c>
      <c r="D49" s="10" t="inlineStr">
        <is>
          <t>Derived</t>
        </is>
      </c>
      <c r="E49" s="10" t="inlineStr">
        <is>
          <t>Actual Gross New Bookings / Plan Gross New Bookings</t>
        </is>
      </c>
      <c r="F49" s="10" t="inlineStr">
        <is>
          <t>gross_new_arr, plan_gross_new_bookings</t>
        </is>
      </c>
      <c r="G49" s="14">
        <f>IFERROR(G2/XLOOKUP("plan_gross_new_bookings",Input_Fields!$B:$B,Input_Fields!$F:$F,""),"")</f>
        <v/>
      </c>
      <c r="H49" s="10" t="inlineStr"/>
    </row>
    <row r="50" ht="18" customHeight="1">
      <c r="A50" s="12" t="inlineStr">
        <is>
          <t>Fiscal Maturity</t>
        </is>
      </c>
      <c r="B50" s="12" t="inlineStr">
        <is>
          <t>ending_arr_attainment</t>
        </is>
      </c>
      <c r="C50" s="12" t="inlineStr">
        <is>
          <t>Ending ARR Attainment</t>
        </is>
      </c>
      <c r="D50" s="12" t="inlineStr">
        <is>
          <t>Derived</t>
        </is>
      </c>
      <c r="E50" s="12" t="inlineStr">
        <is>
          <t>Actual Ending ARR / Plan Ending ARR</t>
        </is>
      </c>
      <c r="F50" s="12" t="inlineStr">
        <is>
          <t>ending arr or calculated ending arr, plan_ending_arr</t>
        </is>
      </c>
      <c r="G50" s="17">
        <f>IFERROR(IF(XLOOKUP("ending_arr",Input_Fields!$B:$B,Input_Fields!$F:$F,"")="",G5,XLOOKUP("ending_arr",Input_Fields!$B:$B,Input_Fields!$F:$F,""))/XLOOKUP("plan_ending_arr",Input_Fields!$B:$B,Input_Fields!$F:$F,""),"")</f>
        <v/>
      </c>
      <c r="H50" s="12" t="inlineStr"/>
    </row>
    <row r="51" ht="18" customHeight="1">
      <c r="A51" s="10" t="inlineStr">
        <is>
          <t>Fiscal Maturity</t>
        </is>
      </c>
      <c r="B51" s="10" t="inlineStr">
        <is>
          <t>yoy_arr_growth_attainment</t>
        </is>
      </c>
      <c r="C51" s="10" t="inlineStr">
        <is>
          <t>YoY ARR Growth Attainment</t>
        </is>
      </c>
      <c r="D51" s="10" t="inlineStr">
        <is>
          <t>Derived</t>
        </is>
      </c>
      <c r="E51" s="10" t="inlineStr">
        <is>
          <t>Actual YoY ARR Growth / Plan YoY ARR Growth</t>
        </is>
      </c>
      <c r="F51" s="10" t="inlineStr">
        <is>
          <t>actual_yoy_arr_growth_pct, plan_yoy_arr_growth_pct</t>
        </is>
      </c>
      <c r="G51" s="14">
        <f>IFERROR(XLOOKUP("actual_yoy_arr_growth_pct",Input_Fields!$B:$B,Input_Fields!$F:$F,"")/XLOOKUP("plan_yoy_arr_growth_pct",Input_Fields!$B:$B,Input_Fields!$F:$F,""),"")</f>
        <v/>
      </c>
      <c r="H51" s="10" t="inlineStr"/>
    </row>
    <row r="52" ht="18" customHeight="1">
      <c r="A52" s="12" t="inlineStr">
        <is>
          <t>Fiscal Maturity</t>
        </is>
      </c>
      <c r="B52" s="12" t="inlineStr">
        <is>
          <t>fcf_attainment</t>
        </is>
      </c>
      <c r="C52" s="12" t="inlineStr">
        <is>
          <t>Free Cash Flow Attainment</t>
        </is>
      </c>
      <c r="D52" s="12" t="inlineStr">
        <is>
          <t>Derived</t>
        </is>
      </c>
      <c r="E52" s="12" t="inlineStr">
        <is>
          <t>Actual FCF / Plan FCF</t>
        </is>
      </c>
      <c r="F52" s="12" t="inlineStr">
        <is>
          <t>actual_fcf, plan_fcf</t>
        </is>
      </c>
      <c r="G52" s="17">
        <f>IFERROR(XLOOKUP("actual_fcf",Input_Fields!$B:$B,Input_Fields!$F:$F,"")/XLOOKUP("plan_fcf",Input_Fields!$B:$B,Input_Fields!$F:$F,""),"")</f>
        <v/>
      </c>
      <c r="H52" s="12" t="inlineStr"/>
    </row>
    <row r="53" ht="18" customHeight="1">
      <c r="A53" s="10" t="inlineStr">
        <is>
          <t>Fiscal Maturity</t>
        </is>
      </c>
      <c r="B53" s="10" t="inlineStr">
        <is>
          <t>beat_vs_guidance</t>
        </is>
      </c>
      <c r="C53" s="10" t="inlineStr">
        <is>
          <t>Beat Against Revenue Guidance</t>
        </is>
      </c>
      <c r="D53" s="10" t="inlineStr">
        <is>
          <t>Derived</t>
        </is>
      </c>
      <c r="E53" s="10" t="inlineStr">
        <is>
          <t>(Actual Revenue / Revenue Guidance) - 1</t>
        </is>
      </c>
      <c r="F53" s="10" t="inlineStr">
        <is>
          <t>revenue, revenue_guidance</t>
        </is>
      </c>
      <c r="G53" s="14">
        <f>IFERROR((XLOOKUP("revenue",Input_Fields!$B:$B,Input_Fields!$F:$F,"")/XLOOKUP("revenue_guidance",Input_Fields!$B:$B,Input_Fields!$F:$F,""))-1,"")</f>
        <v/>
      </c>
      <c r="H53" s="10" t="inlineStr"/>
    </row>
    <row r="54" ht="18" customHeight="1">
      <c r="A54" s="12" t="inlineStr">
        <is>
          <t>Fiscal Maturity</t>
        </is>
      </c>
      <c r="B54" s="12" t="inlineStr">
        <is>
          <t>beat_vs_consensus</t>
        </is>
      </c>
      <c r="C54" s="12" t="inlineStr">
        <is>
          <t>Beat Against Revenue Consensus</t>
        </is>
      </c>
      <c r="D54" s="12" t="inlineStr">
        <is>
          <t>Derived</t>
        </is>
      </c>
      <c r="E54" s="12" t="inlineStr">
        <is>
          <t>(Actual Revenue / Consensus Estimate) - 1</t>
        </is>
      </c>
      <c r="F54" s="12" t="inlineStr">
        <is>
          <t>revenue, consensus_estimate</t>
        </is>
      </c>
      <c r="G54" s="17">
        <f>IFERROR((XLOOKUP("revenue",Input_Fields!$B:$B,Input_Fields!$F:$F,"")/XLOOKUP("consensus_estimate",Input_Fields!$B:$B,Input_Fields!$F:$F,""))-1,"")</f>
        <v/>
      </c>
      <c r="H54" s="12" t="inlineStr"/>
    </row>
  </sheetData>
  <autoFilter ref="A1:H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4761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4" customWidth="1" min="3" max="3"/>
    <col width="4" customWidth="1" min="4" max="4"/>
    <col width="38" customWidth="1" min="5" max="5"/>
  </cols>
  <sheetData>
    <row r="1" ht="28" customHeight="1">
      <c r="A1" s="23" t="inlineStr">
        <is>
          <t>GTM Diagnostic Output</t>
        </is>
      </c>
    </row>
    <row r="2" ht="18" customHeight="1">
      <c r="A2" s="24" t="inlineStr">
        <is>
          <t>Auto-calculated from Input_Fields. Populate the User Value column in Input_Fields to populate this summary.</t>
        </is>
      </c>
    </row>
    <row r="3" ht="10" customHeight="1"/>
    <row r="4" ht="20" customHeight="1">
      <c r="A4" s="3" t="inlineStr">
        <is>
          <t>Key Metrics</t>
        </is>
      </c>
      <c r="E4" s="3" t="inlineStr">
        <is>
          <t>Data Quality</t>
        </is>
      </c>
    </row>
    <row r="5" ht="22" customHeight="1">
      <c r="A5" s="25" t="inlineStr">
        <is>
          <t>Metric</t>
        </is>
      </c>
      <c r="B5" s="25" t="inlineStr">
        <is>
          <t>Value</t>
        </is>
      </c>
      <c r="C5" s="25" t="inlineStr">
        <is>
          <t>Family</t>
        </is>
      </c>
      <c r="E5" s="25" t="inlineStr">
        <is>
          <t>Missing Required Inputs</t>
        </is>
      </c>
    </row>
    <row r="6" ht="18" customHeight="1">
      <c r="A6" s="26" t="inlineStr">
        <is>
          <t>Gross New ARR</t>
        </is>
      </c>
      <c r="B6" s="27">
        <f>XLOOKUP("gross_new_arr",Metric_Calcs!$B:$B,Metric_Calcs!$G:$G,"")</f>
        <v/>
      </c>
      <c r="C6" s="28" t="inlineStr">
        <is>
          <t>Growth Drivers</t>
        </is>
      </c>
      <c r="E6" s="12">
        <f>TEXTJOIN(CHAR(10),TRUE,FILTER(Input_Fields!$C$2:$C$999,(Input_Fields!$E$2:$E$999&lt;&gt;"Optional")*(Input_Fields!$E$2:$E$999&lt;&gt;"Optional / shortcut")*(Input_Fields!$E$2:$E$999&lt;&gt;"Optional / validation")*(Input_Fields!$F$2:$F$999=0),"— All required inputs populated"))</f>
        <v/>
      </c>
    </row>
    <row r="7" ht="18" customHeight="1">
      <c r="A7" s="29" t="inlineStr">
        <is>
          <t>Net New ARR</t>
        </is>
      </c>
      <c r="B7" s="27">
        <f>XLOOKUP("net_new_arr",Metric_Calcs!$B:$B,Metric_Calcs!$G:$G,"")</f>
        <v/>
      </c>
      <c r="C7" s="30" t="inlineStr">
        <is>
          <t>Growth Drivers</t>
        </is>
      </c>
    </row>
    <row r="8" ht="18" customHeight="1">
      <c r="A8" s="26" t="inlineStr">
        <is>
          <t>Ending ARR (Calculated)</t>
        </is>
      </c>
      <c r="B8" s="27">
        <f>XLOOKUP("ending_arr_calc",Metric_Calcs!$B:$B,Metric_Calcs!$G:$G,"")</f>
        <v/>
      </c>
      <c r="C8" s="28" t="inlineStr">
        <is>
          <t>Growth Drivers</t>
        </is>
      </c>
    </row>
    <row r="9" ht="18" customHeight="1">
      <c r="A9" s="29" t="inlineStr">
        <is>
          <t>Pipeline Coverage</t>
        </is>
      </c>
      <c r="B9" s="31">
        <f>XLOOKUP("pipeline_coverage",Metric_Calcs!$B:$B,Metric_Calcs!$G:$G,"")</f>
        <v/>
      </c>
      <c r="C9" s="30" t="inlineStr">
        <is>
          <t>Sales Funnel</t>
        </is>
      </c>
    </row>
    <row r="10" ht="18" customHeight="1">
      <c r="A10" s="26" t="inlineStr">
        <is>
          <t>Weighted Pipeline Coverage</t>
        </is>
      </c>
      <c r="B10" s="31">
        <f>XLOOKUP("weighted_pipeline_coverage",Metric_Calcs!$B:$B,Metric_Calcs!$G:$G,"")</f>
        <v/>
      </c>
      <c r="C10" s="28" t="inlineStr">
        <is>
          <t>Sales Funnel</t>
        </is>
      </c>
    </row>
    <row r="11" ht="18" customHeight="1">
      <c r="A11" s="29" t="inlineStr">
        <is>
          <t>Win Rate</t>
        </is>
      </c>
      <c r="B11" s="31">
        <f>XLOOKUP("win_rate",Metric_Calcs!$B:$B,Metric_Calcs!$G:$G,"")</f>
        <v/>
      </c>
      <c r="C11" s="30" t="inlineStr">
        <is>
          <t>Sales Funnel</t>
        </is>
      </c>
    </row>
    <row r="12" ht="18" customHeight="1">
      <c r="A12" s="26" t="inlineStr">
        <is>
          <t>Quarterly Annualized NDR</t>
        </is>
      </c>
      <c r="B12" s="31">
        <f>XLOOKUP("quarterly_ndr",Metric_Calcs!$B:$B,Metric_Calcs!$G:$G,"")</f>
        <v/>
      </c>
      <c r="C12" s="28" t="inlineStr">
        <is>
          <t>Retention</t>
        </is>
      </c>
    </row>
    <row r="13" ht="18" customHeight="1">
      <c r="A13" s="29" t="inlineStr">
        <is>
          <t>Quarterly Annualized GDR</t>
        </is>
      </c>
      <c r="B13" s="31">
        <f>XLOOKUP("quarterly_gdr",Metric_Calcs!$B:$B,Metric_Calcs!$G:$G,"")</f>
        <v/>
      </c>
      <c r="C13" s="30" t="inlineStr">
        <is>
          <t>Retention</t>
        </is>
      </c>
    </row>
    <row r="14" ht="18" customHeight="1">
      <c r="A14" s="26" t="inlineStr">
        <is>
          <t>Logo Retention</t>
        </is>
      </c>
      <c r="B14" s="31">
        <f>XLOOKUP("logo_retention",Metric_Calcs!$B:$B,Metric_Calcs!$G:$G,"")</f>
        <v/>
      </c>
      <c r="C14" s="28" t="inlineStr">
        <is>
          <t>Retention</t>
        </is>
      </c>
    </row>
    <row r="15" ht="18" customHeight="1">
      <c r="A15" s="29" t="inlineStr">
        <is>
          <t>Gross Margin</t>
        </is>
      </c>
      <c r="B15" s="31">
        <f>XLOOKUP("gross_margin",Metric_Calcs!$B:$B,Metric_Calcs!$G:$G,"")</f>
        <v/>
      </c>
      <c r="C15" s="30" t="inlineStr">
        <is>
          <t>Efficiency &amp; Economics</t>
        </is>
      </c>
    </row>
    <row r="16" ht="18" customHeight="1">
      <c r="A16" s="26" t="inlineStr">
        <is>
          <t>Net Magic Number</t>
        </is>
      </c>
      <c r="B16" s="32">
        <f>XLOOKUP("net_magic_number",Metric_Calcs!$B:$B,Metric_Calcs!$G:$G,"")</f>
        <v/>
      </c>
      <c r="C16" s="28" t="inlineStr">
        <is>
          <t>Efficiency &amp; Economics</t>
        </is>
      </c>
    </row>
    <row r="17" ht="18" customHeight="1">
      <c r="A17" s="29" t="inlineStr">
        <is>
          <t>Simple CAC</t>
        </is>
      </c>
      <c r="B17" s="27">
        <f>XLOOKUP("simple_cac",Metric_Calcs!$B:$B,Metric_Calcs!$G:$G,"")</f>
        <v/>
      </c>
      <c r="C17" s="30" t="inlineStr">
        <is>
          <t>Efficiency &amp; Economics</t>
        </is>
      </c>
    </row>
    <row r="18" ht="18" customHeight="1">
      <c r="A18" s="26" t="inlineStr">
        <is>
          <t>Simple LTV</t>
        </is>
      </c>
      <c r="B18" s="27">
        <f>XLOOKUP("simple_ltv",Metric_Calcs!$B:$B,Metric_Calcs!$G:$G,"")</f>
        <v/>
      </c>
      <c r="C18" s="28" t="inlineStr">
        <is>
          <t>Efficiency &amp; Economics</t>
        </is>
      </c>
    </row>
    <row r="19" ht="18" customHeight="1">
      <c r="A19" s="29" t="inlineStr">
        <is>
          <t>LTV / CAC</t>
        </is>
      </c>
      <c r="B19" s="27">
        <f>XLOOKUP("ltv_cac",Metric_Calcs!$B:$B,Metric_Calcs!$G:$G,"")</f>
        <v/>
      </c>
      <c r="C19" s="30" t="inlineStr">
        <is>
          <t>Efficiency &amp; Economics</t>
        </is>
      </c>
    </row>
    <row r="20" ht="18" customHeight="1">
      <c r="A20" s="26" t="inlineStr">
        <is>
          <t>S&amp;M OpEx per FTE</t>
        </is>
      </c>
      <c r="B20" s="27">
        <f>XLOOKUP("sm_opex_per_fte",Metric_Calcs!$B:$B,Metric_Calcs!$G:$G,"")</f>
        <v/>
      </c>
      <c r="C20" s="28" t="inlineStr">
        <is>
          <t>Team &amp; Productivity</t>
        </is>
      </c>
    </row>
    <row r="21" ht="18" customHeight="1">
      <c r="A21" s="29" t="inlineStr">
        <is>
          <t>NNARR per S&amp;M FTE</t>
        </is>
      </c>
      <c r="B21" s="27">
        <f>XLOOKUP("nnarr_per_sm_fte",Metric_Calcs!$B:$B,Metric_Calcs!$G:$G,"")</f>
        <v/>
      </c>
      <c r="C21" s="30" t="inlineStr">
        <is>
          <t>Team &amp; Productivity</t>
        </is>
      </c>
    </row>
    <row r="22" ht="18" customHeight="1">
      <c r="A22" s="26" t="inlineStr">
        <is>
          <t>Sales Capacity</t>
        </is>
      </c>
      <c r="B22" s="27">
        <f>XLOOKUP("sales_capacity",Metric_Calcs!$B:$B,Metric_Calcs!$G:$G,"")</f>
        <v/>
      </c>
      <c r="C22" s="28" t="inlineStr">
        <is>
          <t>Team &amp; Productivity</t>
        </is>
      </c>
    </row>
    <row r="23" ht="18" customHeight="1">
      <c r="A23" s="29" t="inlineStr">
        <is>
          <t>Rep Attainment</t>
        </is>
      </c>
      <c r="B23" s="31">
        <f>XLOOKUP("rep_attainment",Metric_Calcs!$B:$B,Metric_Calcs!$G:$G,"")</f>
        <v/>
      </c>
      <c r="C23" s="30" t="inlineStr">
        <is>
          <t>Team &amp; Productivity</t>
        </is>
      </c>
    </row>
    <row r="24" ht="18" customHeight="1">
      <c r="A24" s="26" t="inlineStr">
        <is>
          <t>Ramp Rate</t>
        </is>
      </c>
      <c r="B24" s="31">
        <f>XLOOKUP("ramp_rate",Metric_Calcs!$B:$B,Metric_Calcs!$G:$G,"")</f>
        <v/>
      </c>
      <c r="C24" s="28" t="inlineStr">
        <is>
          <t>Team &amp; Productivity</t>
        </is>
      </c>
    </row>
    <row r="25" ht="18" customHeight="1">
      <c r="A25" s="29" t="inlineStr">
        <is>
          <t>Ending ARR Attainment</t>
        </is>
      </c>
      <c r="B25" s="31">
        <f>XLOOKUP("ending_arr_attainment",Metric_Calcs!$B:$B,Metric_Calcs!$G:$G,"")</f>
        <v/>
      </c>
      <c r="C25" s="30" t="inlineStr">
        <is>
          <t>Fiscal Maturity</t>
        </is>
      </c>
    </row>
  </sheetData>
  <mergeCells count="3">
    <mergeCell ref="A1:C1"/>
    <mergeCell ref="E6:E2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2026-04-29T13:33:37Z</dcterms:created>
  <dcterms:modified xmlns:dcterms="http://purl.org/dc/terms/" xmlns:xsi="http://www.w3.org/2001/XMLSchema-instance" xsi:type="dcterms:W3CDTF">2026-04-29T13:33:37Z</dcterms:modified>
</cp:coreProperties>
</file>