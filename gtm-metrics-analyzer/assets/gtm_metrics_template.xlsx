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anLawrence\github\Claude-skills\gtm-metrics-analyzer\assets\"/>
    </mc:Choice>
  </mc:AlternateContent>
  <xr:revisionPtr revIDLastSave="0" documentId="8_{996B10CC-B392-4B23-A672-F77E10A0C5A5}" xr6:coauthVersionLast="47" xr6:coauthVersionMax="47" xr10:uidLastSave="{00000000-0000-0000-0000-000000000000}"/>
  <bookViews>
    <workbookView xWindow="-37992" yWindow="-6048" windowWidth="23232" windowHeight="11304" tabRatio="500" xr2:uid="{00000000-000D-0000-FFFF-FFFF00000000}"/>
  </bookViews>
  <sheets>
    <sheet name="README" sheetId="1" r:id="rId1"/>
    <sheet name="Raw_Monthly_Data" sheetId="2" r:id="rId2"/>
    <sheet name="Input_Fields" sheetId="3" r:id="rId3"/>
    <sheet name="Metric_Calcs" sheetId="4" r:id="rId4"/>
    <sheet name="Diagnostic_Output" sheetId="5" r:id="rId5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5" l="1"/>
  <c r="D18" i="5"/>
  <c r="D11" i="5"/>
  <c r="D51" i="4"/>
  <c r="D50" i="4"/>
  <c r="D49" i="4"/>
  <c r="D48" i="4"/>
  <c r="D45" i="4"/>
  <c r="D23" i="5" s="1"/>
  <c r="D44" i="4"/>
  <c r="D43" i="4"/>
  <c r="D42" i="4"/>
  <c r="D39" i="4"/>
  <c r="D38" i="4"/>
  <c r="D37" i="4"/>
  <c r="D22" i="5" s="1"/>
  <c r="D36" i="4"/>
  <c r="D35" i="4"/>
  <c r="D21" i="5" s="1"/>
  <c r="D34" i="4"/>
  <c r="D33" i="4"/>
  <c r="D32" i="4"/>
  <c r="D20" i="5" s="1"/>
  <c r="D29" i="4"/>
  <c r="C29" i="4"/>
  <c r="G29" i="4" s="1"/>
  <c r="D28" i="4"/>
  <c r="F28" i="4" s="1"/>
  <c r="C28" i="4"/>
  <c r="G28" i="4" s="1"/>
  <c r="D27" i="4"/>
  <c r="D26" i="4"/>
  <c r="D23" i="4"/>
  <c r="D16" i="5" s="1"/>
  <c r="D20" i="4"/>
  <c r="F20" i="4" s="1"/>
  <c r="C20" i="4"/>
  <c r="G20" i="4" s="1"/>
  <c r="D16" i="4"/>
  <c r="F14" i="4"/>
  <c r="D14" i="4"/>
  <c r="D9" i="5" s="1"/>
  <c r="C14" i="4"/>
  <c r="G14" i="4" s="1"/>
  <c r="D8" i="4"/>
  <c r="D5" i="5" s="1"/>
  <c r="D7" i="4"/>
  <c r="F7" i="4" s="1"/>
  <c r="C7" i="4"/>
  <c r="G7" i="4" s="1"/>
  <c r="D40" i="3"/>
  <c r="D22" i="4" s="1"/>
  <c r="C40" i="3"/>
  <c r="C22" i="4" s="1"/>
  <c r="D39" i="3"/>
  <c r="D19" i="4" s="1"/>
  <c r="C39" i="3"/>
  <c r="C19" i="4" s="1"/>
  <c r="D38" i="3"/>
  <c r="C38" i="3"/>
  <c r="D37" i="3"/>
  <c r="D21" i="4" s="1"/>
  <c r="C37" i="3"/>
  <c r="C21" i="4" s="1"/>
  <c r="G21" i="4" s="1"/>
  <c r="D34" i="3"/>
  <c r="C34" i="3"/>
  <c r="C16" i="4" s="1"/>
  <c r="D33" i="3"/>
  <c r="D15" i="4" s="1"/>
  <c r="C33" i="3"/>
  <c r="C15" i="4" s="1"/>
  <c r="D32" i="3"/>
  <c r="C32" i="3"/>
  <c r="D29" i="3"/>
  <c r="C29" i="3"/>
  <c r="D28" i="3"/>
  <c r="C28" i="3"/>
  <c r="D27" i="3"/>
  <c r="C27" i="3"/>
  <c r="D26" i="3"/>
  <c r="C26" i="3"/>
  <c r="D25" i="3"/>
  <c r="C25" i="3"/>
  <c r="D24" i="3"/>
  <c r="C24" i="3"/>
  <c r="D20" i="3"/>
  <c r="D19" i="3"/>
  <c r="C19" i="3"/>
  <c r="D18" i="3"/>
  <c r="C18" i="3"/>
  <c r="D17" i="3"/>
  <c r="D11" i="4" s="1"/>
  <c r="C17" i="3"/>
  <c r="C11" i="4" s="1"/>
  <c r="G11" i="4" s="1"/>
  <c r="D16" i="3"/>
  <c r="C16" i="3"/>
  <c r="D15" i="3"/>
  <c r="D10" i="4" s="1"/>
  <c r="C15" i="3"/>
  <c r="C10" i="4" s="1"/>
  <c r="G10" i="4" s="1"/>
  <c r="D14" i="3"/>
  <c r="D9" i="4" s="1"/>
  <c r="C14" i="3"/>
  <c r="C9" i="4" s="1"/>
  <c r="D13" i="3"/>
  <c r="D6" i="4" s="1"/>
  <c r="C13" i="3"/>
  <c r="C6" i="4" s="1"/>
  <c r="G6" i="4" s="1"/>
  <c r="D12" i="3"/>
  <c r="D21" i="3" s="1"/>
  <c r="C12" i="3"/>
  <c r="C21" i="3" s="1"/>
  <c r="C10" i="5" l="1"/>
  <c r="G15" i="4"/>
  <c r="D10" i="5"/>
  <c r="F15" i="4"/>
  <c r="C11" i="5"/>
  <c r="G16" i="4"/>
  <c r="F16" i="4"/>
  <c r="C7" i="5"/>
  <c r="G9" i="4"/>
  <c r="F21" i="4"/>
  <c r="D7" i="5"/>
  <c r="F9" i="4"/>
  <c r="F10" i="4"/>
  <c r="C13" i="5"/>
  <c r="G19" i="4"/>
  <c r="F19" i="4"/>
  <c r="D13" i="5"/>
  <c r="G22" i="4"/>
  <c r="C15" i="5"/>
  <c r="F22" i="4"/>
  <c r="D15" i="5"/>
  <c r="F11" i="4"/>
  <c r="F6" i="4"/>
  <c r="C14" i="5"/>
  <c r="C5" i="4"/>
  <c r="G5" i="4" s="1"/>
  <c r="F29" i="4"/>
  <c r="D14" i="5"/>
  <c r="D5" i="4"/>
  <c r="F5" i="4" s="1"/>
  <c r="C6" i="5"/>
  <c r="D6" i="5"/>
  <c r="C9" i="5"/>
</calcChain>
</file>

<file path=xl/sharedStrings.xml><?xml version="1.0" encoding="utf-8"?>
<sst xmlns="http://schemas.openxmlformats.org/spreadsheetml/2006/main" count="691" uniqueCount="340">
  <si>
    <t>GTM Metrics Analyzer — Template Workbook</t>
  </si>
  <si>
    <t>Blank reusable template · Fill Raw_Monthly_Data to populate all other tabs automatically</t>
  </si>
  <si>
    <t>HOW TO USE THIS WORKBOOK</t>
  </si>
  <si>
    <t>Step 1</t>
  </si>
  <si>
    <t>Fill Raw_Monthly_Data</t>
  </si>
  <si>
    <t>Enter your monthly data in the Raw_Monthly_Data tab. One row per metric, one column per month. Leave months blank (not zero) if data is unavailable.</t>
  </si>
  <si>
    <t>Step 2</t>
  </si>
  <si>
    <t>Check Input_Fields</t>
  </si>
  <si>
    <t>Input_Fields auto-calculates annual aggregates from Raw_Monthly_Data via SUM / AVERAGEIF formulas. Add context fields (business model, reporting cadence, etc.) in the blue cells at the top.</t>
  </si>
  <si>
    <t>Step 3</t>
  </si>
  <si>
    <t>Review Metric_Calcs</t>
  </si>
  <si>
    <t>All GTM metrics calculate automatically from Input_Fields. Add commentary in column K. Flag missing data rows where inputs are still blank.</t>
  </si>
  <si>
    <t>Step 4</t>
  </si>
  <si>
    <t>Read Diagnostic_Output</t>
  </si>
  <si>
    <t>Clean summary of key findings. Update the narrative cells (column E) with your interpretation.</t>
  </si>
  <si>
    <t>TAB STRUCTURE</t>
  </si>
  <si>
    <t>Tab</t>
  </si>
  <si>
    <t>Purpose</t>
  </si>
  <si>
    <t>Edit?</t>
  </si>
  <si>
    <t>Raw_Monthly_Data</t>
  </si>
  <si>
    <t>Source-of-truth time-series data. One row per metric, one col per month.</t>
  </si>
  <si>
    <t>YES — enter all monthly data here</t>
  </si>
  <si>
    <t>Input_Fields</t>
  </si>
  <si>
    <t>Annual aggregates and context. Formulas pull from Raw_Monthly_Data.</t>
  </si>
  <si>
    <t>YES — fill context rows (blue cells) only</t>
  </si>
  <si>
    <t>Metric_Calcs</t>
  </si>
  <si>
    <t>Full GTM metric catalog with formulas, benchmarks, and commentary.</t>
  </si>
  <si>
    <t>YES — add commentary in column K</t>
  </si>
  <si>
    <t>Diagnostic_Output</t>
  </si>
  <si>
    <t>Clean 1-page summary for operators and investors.</t>
  </si>
  <si>
    <t>YES — update narrative cells</t>
  </si>
  <si>
    <t>COLOUR CODING</t>
  </si>
  <si>
    <t>Blue text</t>
  </si>
  <si>
    <t>Hardcoded input — enter your data here</t>
  </si>
  <si>
    <t>Black text</t>
  </si>
  <si>
    <t>Formula — auto-calculated, do not overwrite</t>
  </si>
  <si>
    <t>Green text</t>
  </si>
  <si>
    <t>Cross-sheet formula — pulling from another tab</t>
  </si>
  <si>
    <t>NULL vs ZERO</t>
  </si>
  <si>
    <t>Empty cell</t>
  </si>
  <si>
    <t>Data not yet available for this month — excluded from averages</t>
  </si>
  <si>
    <t>Zero (0)</t>
  </si>
  <si>
    <t>Metric was genuinely zero this month — included in averages</t>
  </si>
  <si>
    <t>FORMULA CHAIN</t>
  </si>
  <si>
    <t>→ Input_Fields (SUM / AVERAGEIF)</t>
  </si>
  <si>
    <t>→ Metric_Calcs (ratios, rates) → Diagnostic_Output (summary)</t>
  </si>
  <si>
    <t>DEAL CYCLE DATA</t>
  </si>
  <si>
    <t>Source</t>
  </si>
  <si>
    <t>HubSpot (or CRM export)</t>
  </si>
  <si>
    <t>Pull via search API: createDate, closeDate, type, monthlyRecurringRevenueEur, region</t>
  </si>
  <si>
    <t>Calculation</t>
  </si>
  <si>
    <t>Deal cycle (days) = closeDate − createDate</t>
  </si>
  <si>
    <t>Exclude same-day closes and negative cycles (data entry artefacts)</t>
  </si>
  <si>
    <t>Outlier detection</t>
  </si>
  <si>
    <t>1.5×IQR Tukey fence applied per deal type</t>
  </si>
  <si>
    <t>New Contract, Renewal, PoC assessed separately — do not pool</t>
  </si>
  <si>
    <t>Key metrics</t>
  </si>
  <si>
    <t>Avg &amp; median by type; P25/P75; contract length; pipeline stage age</t>
  </si>
  <si>
    <t>Raw Monthly Data — Source of Truth</t>
  </si>
  <si>
    <t>Enter monthly values below. Leave blank (not zero) for months with no data. One metric per row, one month per column.</t>
  </si>
  <si>
    <t>Metric</t>
  </si>
  <si>
    <t>Unit</t>
  </si>
  <si>
    <t>Jan-Y1</t>
  </si>
  <si>
    <t>Feb-Y1</t>
  </si>
  <si>
    <t>Mar-Y1</t>
  </si>
  <si>
    <t>Apr-Y1</t>
  </si>
  <si>
    <t>May-Y1</t>
  </si>
  <si>
    <t>Jun-Y1</t>
  </si>
  <si>
    <t>Jul-Y1</t>
  </si>
  <si>
    <t>Aug-Y1</t>
  </si>
  <si>
    <t>Sep-Y1</t>
  </si>
  <si>
    <t>Oct-Y1</t>
  </si>
  <si>
    <t>Nov-Y1</t>
  </si>
  <si>
    <t>Dec-Y1</t>
  </si>
  <si>
    <t>Jan-Y2</t>
  </si>
  <si>
    <t>Feb-Y2</t>
  </si>
  <si>
    <t>Mar-Y2</t>
  </si>
  <si>
    <t>Apr-Y2</t>
  </si>
  <si>
    <t>May-Y2</t>
  </si>
  <si>
    <t>Jun-Y2</t>
  </si>
  <si>
    <t>Jul-Y2</t>
  </si>
  <si>
    <t>Aug-Y2</t>
  </si>
  <si>
    <t>Sep-Y2</t>
  </si>
  <si>
    <t>Oct-Y2</t>
  </si>
  <si>
    <t>Nov-Y2</t>
  </si>
  <si>
    <t>Dec-Y2</t>
  </si>
  <si>
    <t>Comment / Source</t>
  </si>
  <si>
    <t>1. MRR Waterfall</t>
  </si>
  <si>
    <t>BOP MRR (Beginning of Period MRR)</t>
  </si>
  <si>
    <t>€K</t>
  </si>
  <si>
    <t>New Logo MRR</t>
  </si>
  <si>
    <t>Expansion MRR</t>
  </si>
  <si>
    <t>Gross New MRR  (= New Logo + Expansion)</t>
  </si>
  <si>
    <t>Downsell MRR  (enter as negative)</t>
  </si>
  <si>
    <t>Logo Churn MRR  (enter as negative)</t>
  </si>
  <si>
    <t>Gross Churn MRR  (= Downsell + Logo Churn)</t>
  </si>
  <si>
    <t>Net New MRR  (= Gross New + Gross Churn)</t>
  </si>
  <si>
    <t>EOP MRR (End of Period MRR)</t>
  </si>
  <si>
    <t>2. Logo Counts</t>
  </si>
  <si>
    <t>New Logo Count</t>
  </si>
  <si>
    <t>count</t>
  </si>
  <si>
    <t>3. Retention Rates</t>
  </si>
  <si>
    <t>GRR — Logo (Gross Revenue Retention)</t>
  </si>
  <si>
    <t>%</t>
  </si>
  <si>
    <t>GRR — Total (Gross Revenue Retention, dollar-weighted)</t>
  </si>
  <si>
    <t>NRR (Net Revenue Retention)</t>
  </si>
  <si>
    <t>4. Efficiency &amp; Unit Economics</t>
  </si>
  <si>
    <t>S&amp;M Expense</t>
  </si>
  <si>
    <t>CAC (Cost to Acquire a Customer)</t>
  </si>
  <si>
    <t>Gross Margin %</t>
  </si>
  <si>
    <t>LTV:CAC Ratio</t>
  </si>
  <si>
    <t>x</t>
  </si>
  <si>
    <t>5. HubSpot / CRM Pipeline Data (Closed-Won)</t>
  </si>
  <si>
    <t>New Contract — count</t>
  </si>
  <si>
    <t>Renewal — count</t>
  </si>
  <si>
    <t>PoC — count</t>
  </si>
  <si>
    <t>Total Closed-Won — count</t>
  </si>
  <si>
    <t>Total Closed-Won — MRR</t>
  </si>
  <si>
    <t>6. Additional Metrics (add rows as needed)</t>
  </si>
  <si>
    <t>[Custom metric 1]</t>
  </si>
  <si>
    <t>[unit]</t>
  </si>
  <si>
    <t>[Custom metric 2]</t>
  </si>
  <si>
    <t>Input Fields</t>
  </si>
  <si>
    <t>Blue cells = enter manually · Black/green cells = auto-calculated from Raw_Monthly_Data · Add FY labels in row 3</t>
  </si>
  <si>
    <t>Metric / Input Field</t>
  </si>
  <si>
    <t>FY1</t>
  </si>
  <si>
    <t>FY2</t>
  </si>
  <si>
    <t>Comment</t>
  </si>
  <si>
    <t>1. Company &amp; Reporting Context</t>
  </si>
  <si>
    <t>Business model</t>
  </si>
  <si>
    <t>[e.g. B2B SaaS]</t>
  </si>
  <si>
    <t>—</t>
  </si>
  <si>
    <t>Company docs</t>
  </si>
  <si>
    <t>Primary metric</t>
  </si>
  <si>
    <t>[MRR / ARR]</t>
  </si>
  <si>
    <t>Reporting cadence</t>
  </si>
  <si>
    <t>[Monthly]</t>
  </si>
  <si>
    <t>FY1 period</t>
  </si>
  <si>
    <t>[e.g. Jan-24 to Dec-24]</t>
  </si>
  <si>
    <t>Replace Y1/Y2 labels in Raw_Monthly_Data col headers</t>
  </si>
  <si>
    <t>FY2 period</t>
  </si>
  <si>
    <t>[e.g. Jan-25 to Dec-25]</t>
  </si>
  <si>
    <t>2. MRR / ARR Funnel</t>
  </si>
  <si>
    <t>BOP MRR — FY start</t>
  </si>
  <si>
    <t>Jan BOP (first month of each FY)</t>
  </si>
  <si>
    <t>EOP MRR — FY end</t>
  </si>
  <si>
    <t>Dec EOP (last month of each FY)</t>
  </si>
  <si>
    <t>New Logo MRR — FY total</t>
  </si>
  <si>
    <t>Expansion MRR — FY total</t>
  </si>
  <si>
    <t>Gross New MRR — FY total</t>
  </si>
  <si>
    <t>New Logo + Expansion</t>
  </si>
  <si>
    <t>Logo Churn MRR — FY total</t>
  </si>
  <si>
    <t>Enter as negative</t>
  </si>
  <si>
    <t>Downsell MRR — FY total</t>
  </si>
  <si>
    <t>Enter as negative; IFERROR handles null months</t>
  </si>
  <si>
    <t>Net New MRR — FY total</t>
  </si>
  <si>
    <t>MRR growth YoY</t>
  </si>
  <si>
    <t>Derived</t>
  </si>
  <si>
    <t>(EOP FY2 - EOP FY1) / EOP FY1</t>
  </si>
  <si>
    <t>ARR — FY start (BOP × 12)</t>
  </si>
  <si>
    <t>3. Logo Counts &amp; Mix</t>
  </si>
  <si>
    <t>New logos — FY total</t>
  </si>
  <si>
    <t>From CRM</t>
  </si>
  <si>
    <t>Total closed-won — count</t>
  </si>
  <si>
    <t>Total closed-won — MRR</t>
  </si>
  <si>
    <t>4. Retention</t>
  </si>
  <si>
    <t>GRR — Logo (avg, excl. nulls)</t>
  </si>
  <si>
    <t>AVERAGEIF skips blank months</t>
  </si>
  <si>
    <t>GRR — Total (avg, excl. nulls)</t>
  </si>
  <si>
    <t>NRR (avg, excl. nulls)</t>
  </si>
  <si>
    <t>5. Efficiency &amp; Unit Economics</t>
  </si>
  <si>
    <t>S&amp;M Expense — FY total</t>
  </si>
  <si>
    <t>CAC — FY avg (excl. nulls)</t>
  </si>
  <si>
    <t>AVERAGEIF skips months without new logos</t>
  </si>
  <si>
    <t>Gross Margin % — FY avg (excl. nulls)</t>
  </si>
  <si>
    <t>LTV:CAC — FY avg (excl. nulls)</t>
  </si>
  <si>
    <t>6. Pipeline Snapshot (CRM, hardcoded — update periodically)</t>
  </si>
  <si>
    <t>Open pipeline — total MRR (weighted)</t>
  </si>
  <si>
    <t>[enter]</t>
  </si>
  <si>
    <t>CRM snapshot</t>
  </si>
  <si>
    <t>Apply stage probability weights</t>
  </si>
  <si>
    <t>Win rate (CW / CW + Lost)</t>
  </si>
  <si>
    <t>CRM</t>
  </si>
  <si>
    <t>Lost tracking may be incomplete</t>
  </si>
  <si>
    <t>Pipeline: Stage 1 — count</t>
  </si>
  <si>
    <t>e.g. Meeting booked</t>
  </si>
  <si>
    <t>Pipeline: Stage 1 — MRR</t>
  </si>
  <si>
    <t>Pipeline: Stage 2 — count</t>
  </si>
  <si>
    <t>e.g. Product negotiations</t>
  </si>
  <si>
    <t>Pipeline: Stage 2 — MRR</t>
  </si>
  <si>
    <t>Pipeline: Stage 3 — count</t>
  </si>
  <si>
    <t>e.g. Commercial negotiations</t>
  </si>
  <si>
    <t>Pipeline: Stage 3 — MRR</t>
  </si>
  <si>
    <t>7. Deal Cycle Analysis (CRM, hardcoded — recalculate from export)</t>
  </si>
  <si>
    <t>Avg deal cycle — All types (days)</t>
  </si>
  <si>
    <t>days</t>
  </si>
  <si>
    <t>CRM export</t>
  </si>
  <si>
    <t>createDate → closeDate; excl. same-day artefacts</t>
  </si>
  <si>
    <t>Median deal cycle — All types (days)</t>
  </si>
  <si>
    <t>Prefer median — avg sensitive to long-tail enterprise deals</t>
  </si>
  <si>
    <t>Avg deal cycle — New Contract (days)</t>
  </si>
  <si>
    <t>Median deal cycle — New Contract (days)</t>
  </si>
  <si>
    <t>Report P25 and P75 in Comment column</t>
  </si>
  <si>
    <t>Avg deal cycle — Renewal (days)</t>
  </si>
  <si>
    <t>Median deal cycle — Renewal (days)</t>
  </si>
  <si>
    <t>Avg deal cycle — PoC (days)</t>
  </si>
  <si>
    <t>Flag if n &lt; 10</t>
  </si>
  <si>
    <t>Median deal cycle — PoC (days)</t>
  </si>
  <si>
    <t>8. Open Pipeline Stage Age (CRM snapshot)</t>
  </si>
  <si>
    <t>Stage 1 — median age (days)</t>
  </si>
  <si>
    <t>Days since deal creation; proxy for time in stage</t>
  </si>
  <si>
    <t>Stage 2 — median age (days)</t>
  </si>
  <si>
    <t>Stage 3 — median age (days)</t>
  </si>
  <si>
    <t>Stage 4 — median age (days)</t>
  </si>
  <si>
    <t>9. Contract Length (CRM)</t>
  </si>
  <si>
    <t>Avg contract length — All types (months)</t>
  </si>
  <si>
    <t>months</t>
  </si>
  <si>
    <t>endDate − startDate</t>
  </si>
  <si>
    <t>Avg contract length — New Contract (months)</t>
  </si>
  <si>
    <t>Avg contract length — Renewal (months)</t>
  </si>
  <si>
    <t>Typically 12 months</t>
  </si>
  <si>
    <t>Avg contract length — PoC (months)</t>
  </si>
  <si>
    <t>Typically 3 months</t>
  </si>
  <si>
    <t>Metric Calculations</t>
  </si>
  <si>
    <t>All values formula-driven from Input_Fields. Add commentary in column K. Flag missing inputs.</t>
  </si>
  <si>
    <t>Δ</t>
  </si>
  <si>
    <t>Δ%</t>
  </si>
  <si>
    <t>Benchmark</t>
  </si>
  <si>
    <t>Notes / Methodology</t>
  </si>
  <si>
    <t>Commentary</t>
  </si>
  <si>
    <t>1. Growth Drivers</t>
  </si>
  <si>
    <t>BOP MRR (€K)</t>
  </si>
  <si>
    <t>Start of period MRR</t>
  </si>
  <si>
    <t>EOP MRR (€K)</t>
  </si>
  <si>
    <t>End of period MRR</t>
  </si>
  <si>
    <t>Net New MRR — FY total (€K)</t>
  </si>
  <si>
    <t>New Logo + Expansion + Downsell + Logo Churn</t>
  </si>
  <si>
    <t>MRR Growth YoY (%)</t>
  </si>
  <si>
    <t>&gt;20% top quartile</t>
  </si>
  <si>
    <t>(EOP FY2 – EOP FY1) / EOP FY1</t>
  </si>
  <si>
    <t>New Logo MRR — FY total (€K)</t>
  </si>
  <si>
    <t>Expansion MRR — FY total (€K)</t>
  </si>
  <si>
    <t>Logo Churn MRR — FY total (€K)</t>
  </si>
  <si>
    <t>2. Retention</t>
  </si>
  <si>
    <t>GRR — Logo (%)</t>
  </si>
  <si>
    <t>&gt;80% healthy</t>
  </si>
  <si>
    <t>Monthly avg excl. null months</t>
  </si>
  <si>
    <t>GRR — Total (%)</t>
  </si>
  <si>
    <t>&gt;85% healthy</t>
  </si>
  <si>
    <t>NRR (%)</t>
  </si>
  <si>
    <t>&gt;100% top quartile</t>
  </si>
  <si>
    <t>3. Unit Economics</t>
  </si>
  <si>
    <t>Gross Margin % (avg)</t>
  </si>
  <si>
    <t>&gt;70% SaaS benchmark</t>
  </si>
  <si>
    <t>CAC — avg (€K)</t>
  </si>
  <si>
    <t>S&amp;M Expense — FY total (€K)</t>
  </si>
  <si>
    <t>LTV:CAC ratio (avg)</t>
  </si>
  <si>
    <t>&gt;3× healthy</t>
  </si>
  <si>
    <t>Net Magic Number — Q4 FY1 → Q1 FY2</t>
  </si>
  <si>
    <t>&gt;0.75 healthy</t>
  </si>
  <si>
    <t>(Q1 FY2 Net New MRR × 4) / Q4 FY1 S&amp;M</t>
  </si>
  <si>
    <t>4. Pipeline &amp; Funnel</t>
  </si>
  <si>
    <t>Open pipeline MRR — weighted (€K)</t>
  </si>
  <si>
    <t>Stage-weighted snapshot</t>
  </si>
  <si>
    <t>Win rate (%)</t>
  </si>
  <si>
    <t>&gt;25% healthy</t>
  </si>
  <si>
    <t>CW / (CW + Lost)</t>
  </si>
  <si>
    <t>Total closed-won — FY count</t>
  </si>
  <si>
    <t>Total closed-won MRR — FY (€K)</t>
  </si>
  <si>
    <t>5. Deal Cycle Analysis</t>
  </si>
  <si>
    <t>&lt;90d SaaS</t>
  </si>
  <si>
    <t>createDate→closeDate; excl. same-day artefacts</t>
  </si>
  <si>
    <t>&lt;75d</t>
  </si>
  <si>
    <t>Prefer median — robust vs. long-tail outliers</t>
  </si>
  <si>
    <t>&lt;120d</t>
  </si>
  <si>
    <t>Higher avg/median spread = enterprise long-tail</t>
  </si>
  <si>
    <t>&lt;90d</t>
  </si>
  <si>
    <t>Report P25/P75 in Commentary</t>
  </si>
  <si>
    <t>&lt;60d</t>
  </si>
  <si>
    <t>Tight IQR = predictable renewal cycle</t>
  </si>
  <si>
    <t>Flag n &lt; 10 as thin sample</t>
  </si>
  <si>
    <t>6. Pipeline Stage Age</t>
  </si>
  <si>
    <t>Days since createDate — proxy for time in stage</t>
  </si>
  <si>
    <t>&lt;150d</t>
  </si>
  <si>
    <t>Verbally agreed &gt;90d = priority risk signal</t>
  </si>
  <si>
    <t>7. Contract Length</t>
  </si>
  <si>
    <t>12mo standard</t>
  </si>
  <si>
    <t>3mo pilot</t>
  </si>
  <si>
    <t>8. Team &amp; Productivity</t>
  </si>
  <si>
    <t>CSM count</t>
  </si>
  <si>
    <t>Enter manually</t>
  </si>
  <si>
    <t>Quota-carrying reps</t>
  </si>
  <si>
    <t>NNARR per S&amp;M FTE</t>
  </si>
  <si>
    <t>&gt;€200K</t>
  </si>
  <si>
    <t>Net New ARR / S&amp;M FTEs</t>
  </si>
  <si>
    <t>Quota attainment</t>
  </si>
  <si>
    <t>&gt;60% reps at 100%+</t>
  </si>
  <si>
    <t>QCRs at or above quota / total QCRs</t>
  </si>
  <si>
    <t>9. Fiscal Maturity vs Plan</t>
  </si>
  <si>
    <t>ARR growth attainment</t>
  </si>
  <si>
    <t>&gt;100% vs plan</t>
  </si>
  <si>
    <t>Actual / Budget ARR growth</t>
  </si>
  <si>
    <t>Requires budget data</t>
  </si>
  <si>
    <t>Forecast accuracy</t>
  </si>
  <si>
    <t>&lt;10% miss</t>
  </si>
  <si>
    <t>Forecast / Actual</t>
  </si>
  <si>
    <t>Requires forecast data</t>
  </si>
  <si>
    <t>Diagnostic Output — GTM Health Summary</t>
  </si>
  <si>
    <t>Auto-calculated from Metric_Calcs · Add narrative in column G · RAG status in column F</t>
  </si>
  <si>
    <t>RAG</t>
  </si>
  <si>
    <t>Commentary / Key Finding</t>
  </si>
  <si>
    <t>GROWTH</t>
  </si>
  <si>
    <t>MRR Growth YoY</t>
  </si>
  <si>
    <t>[R/A/G]</t>
  </si>
  <si>
    <t>[Add finding here]</t>
  </si>
  <si>
    <t>Net New MRR — FY (€K)</t>
  </si>
  <si>
    <t>&gt;0</t>
  </si>
  <si>
    <t>New Logo MRR — FY (€K)</t>
  </si>
  <si>
    <t>RETENTION</t>
  </si>
  <si>
    <t>GRR — Logo</t>
  </si>
  <si>
    <t>&gt;80%</t>
  </si>
  <si>
    <t>GRR — Total</t>
  </si>
  <si>
    <t>&gt;85%</t>
  </si>
  <si>
    <t>NRR</t>
  </si>
  <si>
    <t>&gt;100%</t>
  </si>
  <si>
    <t>UNIT ECONOMICS</t>
  </si>
  <si>
    <t>&gt;70%</t>
  </si>
  <si>
    <t>CAC (€K)</t>
  </si>
  <si>
    <t>LTV:CAC</t>
  </si>
  <si>
    <t>&gt;3×</t>
  </si>
  <si>
    <t>Net Magic Number</t>
  </si>
  <si>
    <t>&gt;0.75</t>
  </si>
  <si>
    <t>PIPELINE</t>
  </si>
  <si>
    <t>Open Pipeline MRR (€K)</t>
  </si>
  <si>
    <t>Win Rate</t>
  </si>
  <si>
    <t>&gt;25%</t>
  </si>
  <si>
    <t>Avg deal cycle — All (d)</t>
  </si>
  <si>
    <t>Median deal cycle — NC (d)</t>
  </si>
  <si>
    <t>Median deal cycle — Renewal (d)</t>
  </si>
  <si>
    <t>Stage 4 age — verbal agmt (d)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</si>
</sst>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3"/>
      <color rgb="FFFFFFFF"/>
      <name val="Calibri"/>
      <charset val="1"/>
    </font>
    <font>
      <i/>
      <sz val="9"/>
      <color rgb="FF444444"/>
      <name val="Calibri"/>
      <charset val="1"/>
    </font>
    <font>
      <b/>
      <sz val="10"/>
      <color rgb="FF000000"/>
      <name val="Calibri"/>
      <charset val="1"/>
    </font>
    <font>
      <b/>
      <sz val="9"/>
      <color rgb="FF000000"/>
      <name val="Calibri"/>
      <charset val="1"/>
    </font>
    <font>
      <sz val="9"/>
      <color rgb="FF000000"/>
      <name val="Calibri"/>
      <charset val="1"/>
    </font>
    <font>
      <b/>
      <sz val="9"/>
      <color rgb="FFFFFFFF"/>
      <name val="Calibri"/>
      <charset val="1"/>
    </font>
    <font>
      <i/>
      <sz val="9"/>
      <color rgb="FF666666"/>
      <name val="Calibri"/>
      <charset val="1"/>
    </font>
    <font>
      <sz val="9"/>
      <color rgb="FF0000FF"/>
      <name val="Calibri"/>
      <charset val="1"/>
    </font>
    <font>
      <i/>
      <sz val="8"/>
      <color rgb="FF666666"/>
      <name val="Calibri"/>
      <charset val="1"/>
    </font>
    <font>
      <sz val="9"/>
      <color rgb="FFFF6600"/>
      <name val="Calibri"/>
      <charset val="1"/>
    </font>
    <font>
      <sz val="9"/>
      <color rgb="FF666666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E9EFF8"/>
        <bgColor rgb="FFE8F0FE"/>
      </patternFill>
    </fill>
    <fill>
      <patternFill patternType="solid">
        <fgColor rgb="FFD9E1F2"/>
        <bgColor rgb="FFE9EFF8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2F2F2"/>
      </patternFill>
    </fill>
    <fill>
      <patternFill patternType="solid">
        <fgColor rgb="FFE8F0FE"/>
        <bgColor rgb="FFE9EFF8"/>
      </patternFill>
    </fill>
    <fill>
      <patternFill patternType="solid">
        <fgColor rgb="FFF2F2F2"/>
        <bgColor rgb="FFE9EFF8"/>
      </patternFill>
    </fill>
  </fills>
  <borders count="3">
    <border>
      <left/>
      <right/>
      <top/>
      <bottom/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 style="thin">
        <color rgb="FFB8C4E0"/>
      </left>
      <right style="thin">
        <color rgb="FFB8C4E0"/>
      </right>
      <top style="thin">
        <color rgb="FFB8C4E0"/>
      </top>
      <bottom style="thin">
        <color rgb="FFB8C4E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0" fontId="7" fillId="6" borderId="2" xfId="0" applyFont="1" applyFill="1" applyBorder="1" applyAlignment="1">
      <alignment horizontal="center" vertical="center"/>
    </xf>
    <xf numFmtId="4" fontId="8" fillId="7" borderId="2" xfId="0" applyNumberFormat="1" applyFont="1" applyFill="1" applyBorder="1" applyAlignment="1">
      <alignment horizontal="right" vertical="center"/>
    </xf>
    <xf numFmtId="0" fontId="9" fillId="6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right" vertical="center"/>
    </xf>
    <xf numFmtId="0" fontId="5" fillId="6" borderId="2" xfId="0" applyFont="1" applyFill="1" applyBorder="1" applyAlignment="1">
      <alignment horizontal="center" vertical="center"/>
    </xf>
    <xf numFmtId="4" fontId="8" fillId="6" borderId="2" xfId="0" applyNumberFormat="1" applyFont="1" applyFill="1" applyBorder="1" applyAlignment="1">
      <alignment horizontal="right" vertical="center"/>
    </xf>
    <xf numFmtId="4" fontId="8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right" vertical="center"/>
    </xf>
    <xf numFmtId="0" fontId="8" fillId="8" borderId="2" xfId="0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right" vertical="center"/>
    </xf>
    <xf numFmtId="4" fontId="5" fillId="6" borderId="2" xfId="0" applyNumberFormat="1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4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4E0"/>
      <rgbColor rgb="FF808080"/>
      <rgbColor rgb="FF9999FF"/>
      <rgbColor rgb="FF993366"/>
      <rgbColor rgb="FFF2F2F2"/>
      <rgbColor rgb="FFE8F0FE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F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showGridLines="0" tabSelected="1" zoomScaleNormal="100" workbookViewId="0">
      <selection activeCell="C13" sqref="C13"/>
    </sheetView>
  </sheetViews>
  <sheetFormatPr defaultColWidth="8.6640625" defaultRowHeight="14.4" x14ac:dyDescent="0.3"/>
  <cols>
    <col min="1" max="1" width="2" customWidth="1"/>
    <col min="2" max="2" width="38" customWidth="1"/>
    <col min="3" max="3" width="60" customWidth="1"/>
  </cols>
  <sheetData>
    <row r="1" spans="1:4" ht="25.5" customHeight="1" x14ac:dyDescent="0.3">
      <c r="A1" s="3" t="s">
        <v>0</v>
      </c>
      <c r="B1" s="3"/>
      <c r="C1" s="3"/>
      <c r="D1" s="3"/>
    </row>
    <row r="2" spans="1:4" ht="13.5" customHeight="1" x14ac:dyDescent="0.3">
      <c r="A2" s="2" t="s">
        <v>1</v>
      </c>
      <c r="B2" s="2"/>
      <c r="C2" s="2"/>
      <c r="D2" s="2"/>
    </row>
    <row r="4" spans="1:4" ht="15.75" customHeight="1" x14ac:dyDescent="0.3">
      <c r="A4" s="1" t="s">
        <v>2</v>
      </c>
      <c r="B4" s="1"/>
      <c r="C4" s="1"/>
      <c r="D4" s="1"/>
    </row>
    <row r="5" spans="1:4" ht="13.5" customHeight="1" x14ac:dyDescent="0.3">
      <c r="B5" s="4" t="s">
        <v>3</v>
      </c>
      <c r="C5" s="5" t="s">
        <v>4</v>
      </c>
      <c r="D5" s="5" t="s">
        <v>5</v>
      </c>
    </row>
    <row r="6" spans="1:4" ht="13.5" customHeight="1" x14ac:dyDescent="0.3">
      <c r="B6" s="4" t="s">
        <v>6</v>
      </c>
      <c r="C6" s="5" t="s">
        <v>7</v>
      </c>
      <c r="D6" s="5" t="s">
        <v>8</v>
      </c>
    </row>
    <row r="7" spans="1:4" ht="13.5" customHeight="1" x14ac:dyDescent="0.3">
      <c r="B7" s="4" t="s">
        <v>9</v>
      </c>
      <c r="C7" s="5" t="s">
        <v>10</v>
      </c>
      <c r="D7" s="5" t="s">
        <v>11</v>
      </c>
    </row>
    <row r="8" spans="1:4" ht="13.5" customHeight="1" x14ac:dyDescent="0.3">
      <c r="B8" s="4" t="s">
        <v>12</v>
      </c>
      <c r="C8" s="5" t="s">
        <v>13</v>
      </c>
      <c r="D8" s="5" t="s">
        <v>14</v>
      </c>
    </row>
    <row r="9" spans="1:4" ht="6" customHeight="1" x14ac:dyDescent="0.3"/>
    <row r="10" spans="1:4" ht="15.75" customHeight="1" x14ac:dyDescent="0.3">
      <c r="A10" s="1" t="s">
        <v>15</v>
      </c>
      <c r="B10" s="1"/>
      <c r="C10" s="1"/>
      <c r="D10" s="1"/>
    </row>
    <row r="11" spans="1:4" ht="13.5" customHeight="1" x14ac:dyDescent="0.3">
      <c r="B11" s="4" t="s">
        <v>16</v>
      </c>
      <c r="C11" s="5" t="s">
        <v>17</v>
      </c>
      <c r="D11" s="5" t="s">
        <v>18</v>
      </c>
    </row>
    <row r="12" spans="1:4" ht="13.5" customHeight="1" x14ac:dyDescent="0.3">
      <c r="B12" s="4" t="s">
        <v>19</v>
      </c>
      <c r="C12" s="5" t="s">
        <v>20</v>
      </c>
      <c r="D12" s="5" t="s">
        <v>21</v>
      </c>
    </row>
    <row r="13" spans="1:4" ht="13.5" customHeight="1" x14ac:dyDescent="0.3">
      <c r="B13" s="4" t="s">
        <v>22</v>
      </c>
      <c r="C13" s="5" t="s">
        <v>23</v>
      </c>
      <c r="D13" s="5" t="s">
        <v>24</v>
      </c>
    </row>
    <row r="14" spans="1:4" ht="13.5" customHeight="1" x14ac:dyDescent="0.3">
      <c r="B14" s="4" t="s">
        <v>25</v>
      </c>
      <c r="C14" s="5" t="s">
        <v>26</v>
      </c>
      <c r="D14" s="5" t="s">
        <v>27</v>
      </c>
    </row>
    <row r="15" spans="1:4" ht="13.5" customHeight="1" x14ac:dyDescent="0.3">
      <c r="B15" s="4" t="s">
        <v>28</v>
      </c>
      <c r="C15" s="5" t="s">
        <v>29</v>
      </c>
      <c r="D15" s="5" t="s">
        <v>30</v>
      </c>
    </row>
    <row r="16" spans="1:4" ht="6" customHeight="1" x14ac:dyDescent="0.3"/>
    <row r="17" spans="1:4" ht="15.75" customHeight="1" x14ac:dyDescent="0.3">
      <c r="A17" s="1" t="s">
        <v>31</v>
      </c>
      <c r="B17" s="1"/>
      <c r="C17" s="1"/>
      <c r="D17" s="1"/>
    </row>
    <row r="18" spans="1:4" ht="13.5" customHeight="1" x14ac:dyDescent="0.3">
      <c r="B18" s="5" t="s">
        <v>32</v>
      </c>
      <c r="C18" s="5" t="s">
        <v>33</v>
      </c>
    </row>
    <row r="19" spans="1:4" ht="13.5" customHeight="1" x14ac:dyDescent="0.3">
      <c r="B19" s="5" t="s">
        <v>34</v>
      </c>
      <c r="C19" s="5" t="s">
        <v>35</v>
      </c>
    </row>
    <row r="20" spans="1:4" ht="13.5" customHeight="1" x14ac:dyDescent="0.3">
      <c r="B20" s="5" t="s">
        <v>36</v>
      </c>
      <c r="C20" s="5" t="s">
        <v>37</v>
      </c>
    </row>
    <row r="21" spans="1:4" ht="6" customHeight="1" x14ac:dyDescent="0.3"/>
    <row r="22" spans="1:4" ht="15.75" customHeight="1" x14ac:dyDescent="0.3">
      <c r="A22" s="1" t="s">
        <v>38</v>
      </c>
      <c r="B22" s="1"/>
      <c r="C22" s="1"/>
      <c r="D22" s="1"/>
    </row>
    <row r="23" spans="1:4" ht="13.5" customHeight="1" x14ac:dyDescent="0.3">
      <c r="B23" s="5" t="s">
        <v>39</v>
      </c>
      <c r="C23" s="5" t="s">
        <v>40</v>
      </c>
    </row>
    <row r="24" spans="1:4" ht="13.5" customHeight="1" x14ac:dyDescent="0.3">
      <c r="B24" s="5" t="s">
        <v>41</v>
      </c>
      <c r="C24" s="5" t="s">
        <v>42</v>
      </c>
    </row>
    <row r="25" spans="1:4" ht="6" customHeight="1" x14ac:dyDescent="0.3"/>
    <row r="26" spans="1:4" ht="15.75" customHeight="1" x14ac:dyDescent="0.3">
      <c r="A26" s="1" t="s">
        <v>43</v>
      </c>
      <c r="B26" s="1"/>
      <c r="C26" s="1"/>
      <c r="D26" s="1"/>
    </row>
    <row r="27" spans="1:4" ht="13.5" customHeight="1" x14ac:dyDescent="0.3">
      <c r="B27" s="4" t="s">
        <v>19</v>
      </c>
      <c r="C27" s="5" t="s">
        <v>44</v>
      </c>
      <c r="D27" s="5" t="s">
        <v>45</v>
      </c>
    </row>
    <row r="28" spans="1:4" ht="6" customHeight="1" x14ac:dyDescent="0.3"/>
    <row r="29" spans="1:4" ht="15.75" customHeight="1" x14ac:dyDescent="0.3">
      <c r="A29" s="1" t="s">
        <v>46</v>
      </c>
      <c r="B29" s="1"/>
      <c r="C29" s="1"/>
      <c r="D29" s="1"/>
    </row>
    <row r="30" spans="1:4" ht="13.5" customHeight="1" x14ac:dyDescent="0.3">
      <c r="B30" s="4" t="s">
        <v>47</v>
      </c>
      <c r="C30" s="5" t="s">
        <v>48</v>
      </c>
      <c r="D30" s="5" t="s">
        <v>49</v>
      </c>
    </row>
    <row r="31" spans="1:4" ht="13.5" customHeight="1" x14ac:dyDescent="0.3">
      <c r="B31" s="4" t="s">
        <v>50</v>
      </c>
      <c r="C31" s="5" t="s">
        <v>51</v>
      </c>
      <c r="D31" s="5" t="s">
        <v>52</v>
      </c>
    </row>
    <row r="32" spans="1:4" ht="13.5" customHeight="1" x14ac:dyDescent="0.3">
      <c r="B32" s="4" t="s">
        <v>53</v>
      </c>
      <c r="C32" s="5" t="s">
        <v>54</v>
      </c>
      <c r="D32" s="5" t="s">
        <v>55</v>
      </c>
    </row>
    <row r="33" spans="2:3" ht="13.5" customHeight="1" x14ac:dyDescent="0.3">
      <c r="B33" s="5" t="s">
        <v>56</v>
      </c>
      <c r="C33" s="5" t="s">
        <v>57</v>
      </c>
    </row>
  </sheetData>
  <mergeCells count="8">
    <mergeCell ref="A22:D22"/>
    <mergeCell ref="A26:D26"/>
    <mergeCell ref="A29:D29"/>
    <mergeCell ref="A1:D1"/>
    <mergeCell ref="A2:D2"/>
    <mergeCell ref="A4:D4"/>
    <mergeCell ref="A10:D10"/>
    <mergeCell ref="A17:D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8"/>
  <sheetViews>
    <sheetView showGridLines="0"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ColWidth="8.6640625" defaultRowHeight="14.4" x14ac:dyDescent="0.3"/>
  <cols>
    <col min="1" max="1" width="2" customWidth="1"/>
    <col min="2" max="2" width="38" customWidth="1"/>
    <col min="3" max="27" width="8" customWidth="1"/>
    <col min="28" max="28" width="42" customWidth="1"/>
  </cols>
  <sheetData>
    <row r="1" spans="1:28" ht="25.5" customHeight="1" x14ac:dyDescent="0.3">
      <c r="A1" s="3" t="s">
        <v>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3.5" customHeight="1" x14ac:dyDescent="0.3">
      <c r="A2" s="2" t="s">
        <v>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9.5" customHeight="1" x14ac:dyDescent="0.3"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  <c r="G3" s="6" t="s">
        <v>65</v>
      </c>
      <c r="H3" s="6" t="s">
        <v>66</v>
      </c>
      <c r="I3" s="6" t="s">
        <v>67</v>
      </c>
      <c r="J3" s="6" t="s">
        <v>68</v>
      </c>
      <c r="K3" s="6" t="s">
        <v>69</v>
      </c>
      <c r="L3" s="6" t="s">
        <v>70</v>
      </c>
      <c r="M3" s="6" t="s">
        <v>71</v>
      </c>
      <c r="N3" s="6" t="s">
        <v>72</v>
      </c>
      <c r="O3" s="6" t="s">
        <v>73</v>
      </c>
      <c r="P3" s="6" t="s">
        <v>74</v>
      </c>
      <c r="Q3" s="6" t="s">
        <v>75</v>
      </c>
      <c r="R3" s="6" t="s">
        <v>76</v>
      </c>
      <c r="S3" s="6" t="s">
        <v>77</v>
      </c>
      <c r="T3" s="6" t="s">
        <v>78</v>
      </c>
      <c r="U3" s="6" t="s">
        <v>79</v>
      </c>
      <c r="V3" s="6" t="s">
        <v>80</v>
      </c>
      <c r="W3" s="6" t="s">
        <v>81</v>
      </c>
      <c r="X3" s="6" t="s">
        <v>82</v>
      </c>
      <c r="Y3" s="6" t="s">
        <v>83</v>
      </c>
      <c r="Z3" s="6" t="s">
        <v>84</v>
      </c>
      <c r="AA3" s="6" t="s">
        <v>85</v>
      </c>
      <c r="AB3" s="6" t="s">
        <v>86</v>
      </c>
    </row>
    <row r="4" spans="1:28" ht="15.75" customHeight="1" x14ac:dyDescent="0.3">
      <c r="A4" s="1" t="s">
        <v>87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" customHeight="1" x14ac:dyDescent="0.3">
      <c r="B5" s="7" t="s">
        <v>88</v>
      </c>
      <c r="C5" s="8" t="s">
        <v>89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10"/>
    </row>
    <row r="6" spans="1:28" ht="15" customHeight="1" x14ac:dyDescent="0.3">
      <c r="B6" s="11" t="s">
        <v>90</v>
      </c>
      <c r="C6" s="12" t="s">
        <v>89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13"/>
    </row>
    <row r="7" spans="1:28" ht="15" customHeight="1" x14ac:dyDescent="0.3">
      <c r="B7" s="7" t="s">
        <v>91</v>
      </c>
      <c r="C7" s="8" t="s">
        <v>89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10"/>
    </row>
    <row r="8" spans="1:28" ht="15" customHeight="1" x14ac:dyDescent="0.3">
      <c r="B8" s="11" t="s">
        <v>92</v>
      </c>
      <c r="C8" s="12" t="s">
        <v>89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13"/>
    </row>
    <row r="9" spans="1:28" ht="15" customHeight="1" x14ac:dyDescent="0.3">
      <c r="B9" s="7" t="s">
        <v>93</v>
      </c>
      <c r="C9" s="8" t="s">
        <v>89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10"/>
    </row>
    <row r="10" spans="1:28" ht="15" customHeight="1" x14ac:dyDescent="0.3">
      <c r="B10" s="11" t="s">
        <v>94</v>
      </c>
      <c r="C10" s="12" t="s">
        <v>89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13"/>
    </row>
    <row r="11" spans="1:28" ht="15" customHeight="1" x14ac:dyDescent="0.3">
      <c r="B11" s="7" t="s">
        <v>95</v>
      </c>
      <c r="C11" s="8" t="s">
        <v>89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10"/>
    </row>
    <row r="12" spans="1:28" ht="15" customHeight="1" x14ac:dyDescent="0.3">
      <c r="B12" s="11" t="s">
        <v>96</v>
      </c>
      <c r="C12" s="12" t="s">
        <v>89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13"/>
    </row>
    <row r="13" spans="1:28" ht="15" customHeight="1" x14ac:dyDescent="0.3">
      <c r="B13" s="7" t="s">
        <v>97</v>
      </c>
      <c r="C13" s="8" t="s">
        <v>89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10"/>
    </row>
    <row r="14" spans="1:28" ht="4.5" customHeight="1" x14ac:dyDescent="0.3"/>
    <row r="15" spans="1:28" ht="15.75" customHeight="1" x14ac:dyDescent="0.3">
      <c r="A15" s="1" t="s">
        <v>98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" customHeight="1" x14ac:dyDescent="0.3">
      <c r="B16" s="7" t="s">
        <v>99</v>
      </c>
      <c r="C16" s="8" t="s">
        <v>100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10"/>
    </row>
    <row r="17" spans="1:28" ht="4.5" customHeight="1" x14ac:dyDescent="0.3"/>
    <row r="18" spans="1:28" ht="15.75" customHeight="1" x14ac:dyDescent="0.3">
      <c r="A18" s="1" t="s">
        <v>101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5" customHeight="1" x14ac:dyDescent="0.3">
      <c r="B19" s="7" t="s">
        <v>102</v>
      </c>
      <c r="C19" s="8" t="s">
        <v>103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10"/>
    </row>
    <row r="20" spans="1:28" ht="15" customHeight="1" x14ac:dyDescent="0.3">
      <c r="B20" s="11" t="s">
        <v>104</v>
      </c>
      <c r="C20" s="12" t="s">
        <v>103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13"/>
    </row>
    <row r="21" spans="1:28" ht="15" customHeight="1" x14ac:dyDescent="0.3">
      <c r="B21" s="7" t="s">
        <v>105</v>
      </c>
      <c r="C21" s="8" t="s">
        <v>103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10"/>
    </row>
    <row r="22" spans="1:28" ht="4.5" customHeight="1" x14ac:dyDescent="0.3"/>
    <row r="23" spans="1:28" ht="15.75" customHeight="1" x14ac:dyDescent="0.3">
      <c r="A23" s="1" t="s">
        <v>106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" customHeight="1" x14ac:dyDescent="0.3">
      <c r="B24" s="7" t="s">
        <v>107</v>
      </c>
      <c r="C24" s="8" t="s">
        <v>89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10"/>
    </row>
    <row r="25" spans="1:28" ht="15" customHeight="1" x14ac:dyDescent="0.3">
      <c r="B25" s="11" t="s">
        <v>108</v>
      </c>
      <c r="C25" s="12" t="s">
        <v>89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13"/>
    </row>
    <row r="26" spans="1:28" ht="15" customHeight="1" x14ac:dyDescent="0.3">
      <c r="B26" s="7" t="s">
        <v>109</v>
      </c>
      <c r="C26" s="8" t="s">
        <v>103</v>
      </c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10"/>
    </row>
    <row r="27" spans="1:28" ht="15" customHeight="1" x14ac:dyDescent="0.3">
      <c r="B27" s="11" t="s">
        <v>110</v>
      </c>
      <c r="C27" s="12" t="s">
        <v>111</v>
      </c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13"/>
    </row>
    <row r="28" spans="1:28" ht="4.5" customHeight="1" x14ac:dyDescent="0.3"/>
    <row r="29" spans="1:28" ht="15.75" customHeight="1" x14ac:dyDescent="0.3">
      <c r="A29" s="1" t="s">
        <v>112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" customHeight="1" x14ac:dyDescent="0.3">
      <c r="B30" s="7" t="s">
        <v>113</v>
      </c>
      <c r="C30" s="8" t="s">
        <v>100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10"/>
    </row>
    <row r="31" spans="1:28" ht="15" customHeight="1" x14ac:dyDescent="0.3">
      <c r="B31" s="11" t="s">
        <v>114</v>
      </c>
      <c r="C31" s="12" t="s">
        <v>100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13"/>
    </row>
    <row r="32" spans="1:28" ht="15" customHeight="1" x14ac:dyDescent="0.3">
      <c r="B32" s="7" t="s">
        <v>115</v>
      </c>
      <c r="C32" s="8" t="s">
        <v>100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10"/>
    </row>
    <row r="33" spans="1:28" ht="15" customHeight="1" x14ac:dyDescent="0.3">
      <c r="B33" s="11" t="s">
        <v>116</v>
      </c>
      <c r="C33" s="12" t="s">
        <v>100</v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13"/>
    </row>
    <row r="34" spans="1:28" ht="15" customHeight="1" x14ac:dyDescent="0.3">
      <c r="B34" s="7" t="s">
        <v>117</v>
      </c>
      <c r="C34" s="8" t="s">
        <v>89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10"/>
    </row>
    <row r="35" spans="1:28" ht="4.5" customHeight="1" x14ac:dyDescent="0.3"/>
    <row r="36" spans="1:28" ht="15.75" customHeight="1" x14ac:dyDescent="0.3">
      <c r="A36" s="1" t="s">
        <v>118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" customHeight="1" x14ac:dyDescent="0.3">
      <c r="B37" s="7" t="s">
        <v>119</v>
      </c>
      <c r="C37" s="8" t="s">
        <v>120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10"/>
    </row>
    <row r="38" spans="1:28" ht="15" customHeight="1" x14ac:dyDescent="0.3">
      <c r="B38" s="11" t="s">
        <v>121</v>
      </c>
      <c r="C38" s="12" t="s">
        <v>120</v>
      </c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13"/>
    </row>
  </sheetData>
  <mergeCells count="8">
    <mergeCell ref="A23:AB23"/>
    <mergeCell ref="A29:AB29"/>
    <mergeCell ref="A36:AB36"/>
    <mergeCell ref="A1:AB1"/>
    <mergeCell ref="A2:AB2"/>
    <mergeCell ref="A4:AB4"/>
    <mergeCell ref="A15:AB15"/>
    <mergeCell ref="A18:AB1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2"/>
  <sheetViews>
    <sheetView showGridLines="0" zoomScaleNormal="100" workbookViewId="0"/>
  </sheetViews>
  <sheetFormatPr defaultColWidth="8.6640625" defaultRowHeight="14.4" x14ac:dyDescent="0.3"/>
  <cols>
    <col min="1" max="1" width="2" customWidth="1"/>
    <col min="2" max="2" width="46" customWidth="1"/>
    <col min="3" max="4" width="16" customWidth="1"/>
    <col min="5" max="5" width="10" customWidth="1"/>
    <col min="6" max="6" width="28" customWidth="1"/>
    <col min="7" max="7" width="40" customWidth="1"/>
  </cols>
  <sheetData>
    <row r="1" spans="1:7" ht="25.5" customHeight="1" x14ac:dyDescent="0.3">
      <c r="A1" s="3" t="s">
        <v>122</v>
      </c>
      <c r="B1" s="3"/>
      <c r="C1" s="3"/>
      <c r="D1" s="3"/>
      <c r="E1" s="3"/>
      <c r="F1" s="3"/>
      <c r="G1" s="3"/>
    </row>
    <row r="2" spans="1:7" ht="13.5" customHeight="1" x14ac:dyDescent="0.3">
      <c r="A2" s="2" t="s">
        <v>123</v>
      </c>
      <c r="B2" s="2"/>
      <c r="C2" s="2"/>
      <c r="D2" s="2"/>
      <c r="E2" s="2"/>
      <c r="F2" s="2"/>
      <c r="G2" s="2"/>
    </row>
    <row r="3" spans="1:7" ht="18" customHeight="1" x14ac:dyDescent="0.3">
      <c r="A3" s="6"/>
      <c r="B3" s="6" t="s">
        <v>124</v>
      </c>
      <c r="C3" s="6" t="s">
        <v>125</v>
      </c>
      <c r="D3" s="6" t="s">
        <v>126</v>
      </c>
      <c r="E3" s="6" t="s">
        <v>61</v>
      </c>
      <c r="F3" s="6" t="s">
        <v>47</v>
      </c>
      <c r="G3" s="6" t="s">
        <v>127</v>
      </c>
    </row>
    <row r="4" spans="1:7" ht="15.75" customHeight="1" x14ac:dyDescent="0.3">
      <c r="A4" s="1" t="s">
        <v>128</v>
      </c>
      <c r="B4" s="1"/>
      <c r="C4" s="1"/>
      <c r="D4" s="1"/>
      <c r="E4" s="1"/>
      <c r="F4" s="1"/>
      <c r="G4" s="1"/>
    </row>
    <row r="5" spans="1:7" ht="13.5" customHeight="1" x14ac:dyDescent="0.3">
      <c r="A5" s="7"/>
      <c r="B5" s="7" t="s">
        <v>129</v>
      </c>
      <c r="C5" s="14" t="s">
        <v>130</v>
      </c>
      <c r="D5" s="14" t="s">
        <v>130</v>
      </c>
      <c r="E5" s="15" t="s">
        <v>131</v>
      </c>
      <c r="F5" s="7" t="s">
        <v>132</v>
      </c>
      <c r="G5" s="7"/>
    </row>
    <row r="6" spans="1:7" ht="13.5" customHeight="1" x14ac:dyDescent="0.3">
      <c r="A6" s="7"/>
      <c r="B6" s="7" t="s">
        <v>133</v>
      </c>
      <c r="C6" s="14" t="s">
        <v>134</v>
      </c>
      <c r="D6" s="14" t="s">
        <v>134</v>
      </c>
      <c r="E6" s="15" t="s">
        <v>131</v>
      </c>
      <c r="F6" s="7" t="s">
        <v>132</v>
      </c>
      <c r="G6" s="7"/>
    </row>
    <row r="7" spans="1:7" ht="13.5" customHeight="1" x14ac:dyDescent="0.3">
      <c r="A7" s="7"/>
      <c r="B7" s="7" t="s">
        <v>135</v>
      </c>
      <c r="C7" s="14" t="s">
        <v>136</v>
      </c>
      <c r="D7" s="14" t="s">
        <v>136</v>
      </c>
      <c r="E7" s="15" t="s">
        <v>131</v>
      </c>
      <c r="F7" s="7"/>
      <c r="G7" s="7"/>
    </row>
    <row r="8" spans="1:7" ht="13.5" customHeight="1" x14ac:dyDescent="0.3">
      <c r="A8" s="7"/>
      <c r="B8" s="7" t="s">
        <v>137</v>
      </c>
      <c r="C8" s="14" t="s">
        <v>138</v>
      </c>
      <c r="D8" s="14"/>
      <c r="E8" s="15" t="s">
        <v>131</v>
      </c>
      <c r="F8" s="7"/>
      <c r="G8" s="7" t="s">
        <v>139</v>
      </c>
    </row>
    <row r="9" spans="1:7" ht="13.5" customHeight="1" x14ac:dyDescent="0.3">
      <c r="A9" s="7"/>
      <c r="B9" s="7" t="s">
        <v>140</v>
      </c>
      <c r="C9" s="14" t="s">
        <v>141</v>
      </c>
      <c r="D9" s="14"/>
      <c r="E9" s="15" t="s">
        <v>131</v>
      </c>
      <c r="F9" s="7"/>
      <c r="G9" s="7"/>
    </row>
    <row r="11" spans="1:7" ht="15.75" customHeight="1" x14ac:dyDescent="0.3">
      <c r="A11" s="1" t="s">
        <v>142</v>
      </c>
      <c r="B11" s="1"/>
      <c r="C11" s="1"/>
      <c r="D11" s="1"/>
      <c r="E11" s="1"/>
      <c r="F11" s="1"/>
      <c r="G11" s="1"/>
    </row>
    <row r="12" spans="1:7" ht="13.5" customHeight="1" x14ac:dyDescent="0.3">
      <c r="A12" s="7"/>
      <c r="B12" s="7" t="s">
        <v>143</v>
      </c>
      <c r="C12" s="16">
        <f>Raw_Monthly_Data!D5</f>
        <v>0</v>
      </c>
      <c r="D12" s="16">
        <f>Raw_Monthly_Data!P5</f>
        <v>0</v>
      </c>
      <c r="E12" s="15" t="s">
        <v>89</v>
      </c>
      <c r="F12" s="7" t="s">
        <v>19</v>
      </c>
      <c r="G12" s="7" t="s">
        <v>144</v>
      </c>
    </row>
    <row r="13" spans="1:7" ht="13.5" customHeight="1" x14ac:dyDescent="0.3">
      <c r="A13" s="11"/>
      <c r="B13" s="11" t="s">
        <v>145</v>
      </c>
      <c r="C13" s="17">
        <f>Raw_Monthly_Data!O13</f>
        <v>0</v>
      </c>
      <c r="D13" s="17">
        <f>Raw_Monthly_Data!AA13</f>
        <v>0</v>
      </c>
      <c r="E13" s="18" t="s">
        <v>89</v>
      </c>
      <c r="F13" s="11" t="s">
        <v>19</v>
      </c>
      <c r="G13" s="11" t="s">
        <v>146</v>
      </c>
    </row>
    <row r="14" spans="1:7" ht="13.5" customHeight="1" x14ac:dyDescent="0.3">
      <c r="A14" s="7"/>
      <c r="B14" s="7" t="s">
        <v>147</v>
      </c>
      <c r="C14" s="19">
        <f>SUM(Raw_Monthly_Data!D6:O6)</f>
        <v>0</v>
      </c>
      <c r="D14" s="19">
        <f>SUM(Raw_Monthly_Data!P6:AA6)</f>
        <v>0</v>
      </c>
      <c r="E14" s="15" t="s">
        <v>89</v>
      </c>
      <c r="F14" s="7" t="s">
        <v>19</v>
      </c>
      <c r="G14" s="7"/>
    </row>
    <row r="15" spans="1:7" ht="13.5" customHeight="1" x14ac:dyDescent="0.3">
      <c r="A15" s="11"/>
      <c r="B15" s="11" t="s">
        <v>148</v>
      </c>
      <c r="C15" s="20">
        <f>SUM(Raw_Monthly_Data!D7:O7)</f>
        <v>0</v>
      </c>
      <c r="D15" s="20">
        <f>SUM(Raw_Monthly_Data!P7:AA7)</f>
        <v>0</v>
      </c>
      <c r="E15" s="18" t="s">
        <v>89</v>
      </c>
      <c r="F15" s="11" t="s">
        <v>19</v>
      </c>
      <c r="G15" s="11"/>
    </row>
    <row r="16" spans="1:7" ht="13.5" customHeight="1" x14ac:dyDescent="0.3">
      <c r="A16" s="7"/>
      <c r="B16" s="7" t="s">
        <v>149</v>
      </c>
      <c r="C16" s="19">
        <f>SUM(Raw_Monthly_Data!D8:O8)</f>
        <v>0</v>
      </c>
      <c r="D16" s="19">
        <f>SUM(Raw_Monthly_Data!P8:AA8)</f>
        <v>0</v>
      </c>
      <c r="E16" s="15" t="s">
        <v>89</v>
      </c>
      <c r="F16" s="7" t="s">
        <v>19</v>
      </c>
      <c r="G16" s="7" t="s">
        <v>150</v>
      </c>
    </row>
    <row r="17" spans="1:7" ht="13.5" customHeight="1" x14ac:dyDescent="0.3">
      <c r="A17" s="11"/>
      <c r="B17" s="11" t="s">
        <v>151</v>
      </c>
      <c r="C17" s="20">
        <f>SUM(Raw_Monthly_Data!D10:O10)</f>
        <v>0</v>
      </c>
      <c r="D17" s="20">
        <f>SUM(Raw_Monthly_Data!P10:AA10)</f>
        <v>0</v>
      </c>
      <c r="E17" s="18" t="s">
        <v>89</v>
      </c>
      <c r="F17" s="11" t="s">
        <v>19</v>
      </c>
      <c r="G17" s="11" t="s">
        <v>152</v>
      </c>
    </row>
    <row r="18" spans="1:7" ht="13.5" customHeight="1" x14ac:dyDescent="0.3">
      <c r="A18" s="7"/>
      <c r="B18" s="7" t="s">
        <v>153</v>
      </c>
      <c r="C18" s="19">
        <f>IFERROR(SUM(Raw_Monthly_Data!D9:O9),0)</f>
        <v>0</v>
      </c>
      <c r="D18" s="19">
        <f>IFERROR(SUM(Raw_Monthly_Data!P9:AA9),0)</f>
        <v>0</v>
      </c>
      <c r="E18" s="15" t="s">
        <v>89</v>
      </c>
      <c r="F18" s="7" t="s">
        <v>19</v>
      </c>
      <c r="G18" s="7" t="s">
        <v>154</v>
      </c>
    </row>
    <row r="19" spans="1:7" ht="13.5" customHeight="1" x14ac:dyDescent="0.3">
      <c r="A19" s="11"/>
      <c r="B19" s="11" t="s">
        <v>155</v>
      </c>
      <c r="C19" s="20">
        <f>SUM(Raw_Monthly_Data!D12:O12)</f>
        <v>0</v>
      </c>
      <c r="D19" s="20">
        <f>SUM(Raw_Monthly_Data!P12:AA12)</f>
        <v>0</v>
      </c>
      <c r="E19" s="18" t="s">
        <v>89</v>
      </c>
      <c r="F19" s="11" t="s">
        <v>19</v>
      </c>
      <c r="G19" s="11"/>
    </row>
    <row r="20" spans="1:7" ht="13.5" customHeight="1" x14ac:dyDescent="0.3">
      <c r="A20" s="7"/>
      <c r="B20" s="7" t="s">
        <v>156</v>
      </c>
      <c r="C20" s="14" t="s">
        <v>131</v>
      </c>
      <c r="D20" s="19" t="str">
        <f>IF(C13&lt;&gt;0,(D13-C13)/ABS(C13),"—")</f>
        <v>—</v>
      </c>
      <c r="E20" s="15" t="s">
        <v>103</v>
      </c>
      <c r="F20" s="7" t="s">
        <v>157</v>
      </c>
      <c r="G20" s="7" t="s">
        <v>158</v>
      </c>
    </row>
    <row r="21" spans="1:7" ht="13.5" customHeight="1" x14ac:dyDescent="0.3">
      <c r="A21" s="11"/>
      <c r="B21" s="11" t="s">
        <v>159</v>
      </c>
      <c r="C21" s="20">
        <f>C12*12</f>
        <v>0</v>
      </c>
      <c r="D21" s="20">
        <f>D12*12</f>
        <v>0</v>
      </c>
      <c r="E21" s="18" t="s">
        <v>89</v>
      </c>
      <c r="F21" s="11" t="s">
        <v>157</v>
      </c>
      <c r="G21" s="11"/>
    </row>
    <row r="23" spans="1:7" ht="15.75" customHeight="1" x14ac:dyDescent="0.3">
      <c r="A23" s="1" t="s">
        <v>160</v>
      </c>
      <c r="B23" s="1"/>
      <c r="C23" s="1"/>
      <c r="D23" s="1"/>
      <c r="E23" s="1"/>
      <c r="F23" s="1"/>
      <c r="G23" s="1"/>
    </row>
    <row r="24" spans="1:7" ht="13.5" customHeight="1" x14ac:dyDescent="0.3">
      <c r="A24" s="7"/>
      <c r="B24" s="7" t="s">
        <v>161</v>
      </c>
      <c r="C24" s="19">
        <f>SUM(Raw_Monthly_Data!D16:O16)</f>
        <v>0</v>
      </c>
      <c r="D24" s="19">
        <f>SUM(Raw_Monthly_Data!P16:AA16)</f>
        <v>0</v>
      </c>
      <c r="E24" s="15" t="s">
        <v>100</v>
      </c>
      <c r="F24" s="7" t="s">
        <v>19</v>
      </c>
      <c r="G24" s="7"/>
    </row>
    <row r="25" spans="1:7" ht="13.5" customHeight="1" x14ac:dyDescent="0.3">
      <c r="A25" s="11"/>
      <c r="B25" s="11" t="s">
        <v>113</v>
      </c>
      <c r="C25" s="20">
        <f>SUM(Raw_Monthly_Data!D30:O30)</f>
        <v>0</v>
      </c>
      <c r="D25" s="20">
        <f>SUM(Raw_Monthly_Data!P30:AA30)</f>
        <v>0</v>
      </c>
      <c r="E25" s="18" t="s">
        <v>100</v>
      </c>
      <c r="F25" s="11" t="s">
        <v>19</v>
      </c>
      <c r="G25" s="11" t="s">
        <v>162</v>
      </c>
    </row>
    <row r="26" spans="1:7" ht="13.5" customHeight="1" x14ac:dyDescent="0.3">
      <c r="A26" s="7"/>
      <c r="B26" s="7" t="s">
        <v>114</v>
      </c>
      <c r="C26" s="19">
        <f>SUM(Raw_Monthly_Data!D31:O31)</f>
        <v>0</v>
      </c>
      <c r="D26" s="19">
        <f>SUM(Raw_Monthly_Data!P31:AA31)</f>
        <v>0</v>
      </c>
      <c r="E26" s="15" t="s">
        <v>100</v>
      </c>
      <c r="F26" s="7" t="s">
        <v>19</v>
      </c>
      <c r="G26" s="7" t="s">
        <v>162</v>
      </c>
    </row>
    <row r="27" spans="1:7" ht="13.5" customHeight="1" x14ac:dyDescent="0.3">
      <c r="A27" s="11"/>
      <c r="B27" s="11" t="s">
        <v>115</v>
      </c>
      <c r="C27" s="20">
        <f>SUM(Raw_Monthly_Data!D32:O32)</f>
        <v>0</v>
      </c>
      <c r="D27" s="20">
        <f>SUM(Raw_Monthly_Data!P32:AA32)</f>
        <v>0</v>
      </c>
      <c r="E27" s="18" t="s">
        <v>100</v>
      </c>
      <c r="F27" s="11" t="s">
        <v>19</v>
      </c>
      <c r="G27" s="11" t="s">
        <v>162</v>
      </c>
    </row>
    <row r="28" spans="1:7" ht="13.5" customHeight="1" x14ac:dyDescent="0.3">
      <c r="A28" s="7"/>
      <c r="B28" s="7" t="s">
        <v>163</v>
      </c>
      <c r="C28" s="19">
        <f>SUM(Raw_Monthly_Data!D33:O33)</f>
        <v>0</v>
      </c>
      <c r="D28" s="19">
        <f>SUM(Raw_Monthly_Data!P33:AA33)</f>
        <v>0</v>
      </c>
      <c r="E28" s="15" t="s">
        <v>100</v>
      </c>
      <c r="F28" s="7" t="s">
        <v>19</v>
      </c>
      <c r="G28" s="7"/>
    </row>
    <row r="29" spans="1:7" ht="13.5" customHeight="1" x14ac:dyDescent="0.3">
      <c r="A29" s="11"/>
      <c r="B29" s="11" t="s">
        <v>164</v>
      </c>
      <c r="C29" s="20">
        <f>SUM(Raw_Monthly_Data!D34:O34)</f>
        <v>0</v>
      </c>
      <c r="D29" s="20">
        <f>SUM(Raw_Monthly_Data!P34:AA34)</f>
        <v>0</v>
      </c>
      <c r="E29" s="18" t="s">
        <v>89</v>
      </c>
      <c r="F29" s="11" t="s">
        <v>19</v>
      </c>
      <c r="G29" s="11"/>
    </row>
    <row r="31" spans="1:7" ht="15.75" customHeight="1" x14ac:dyDescent="0.3">
      <c r="A31" s="1" t="s">
        <v>165</v>
      </c>
      <c r="B31" s="1"/>
      <c r="C31" s="1"/>
      <c r="D31" s="1"/>
      <c r="E31" s="1"/>
      <c r="F31" s="1"/>
      <c r="G31" s="1"/>
    </row>
    <row r="32" spans="1:7" ht="13.5" customHeight="1" x14ac:dyDescent="0.3">
      <c r="A32" s="7"/>
      <c r="B32" s="7" t="s">
        <v>166</v>
      </c>
      <c r="C32" s="19" t="str">
        <f>IFERROR(AVERAGEIF(Raw_Monthly_Data!D19:O19,"&lt;&gt;"),"")</f>
        <v/>
      </c>
      <c r="D32" s="19" t="str">
        <f>IFERROR(AVERAGEIF(Raw_Monthly_Data!P19:AA19,"&lt;&gt;"),"")</f>
        <v/>
      </c>
      <c r="E32" s="15" t="s">
        <v>103</v>
      </c>
      <c r="F32" s="7" t="s">
        <v>19</v>
      </c>
      <c r="G32" s="7" t="s">
        <v>167</v>
      </c>
    </row>
    <row r="33" spans="1:7" ht="13.5" customHeight="1" x14ac:dyDescent="0.3">
      <c r="A33" s="11"/>
      <c r="B33" s="11" t="s">
        <v>168</v>
      </c>
      <c r="C33" s="20" t="str">
        <f>IFERROR(AVERAGEIF(Raw_Monthly_Data!D20:O20,"&lt;&gt;"),"")</f>
        <v/>
      </c>
      <c r="D33" s="20" t="str">
        <f>IFERROR(AVERAGEIF(Raw_Monthly_Data!P20:AA20,"&lt;&gt;"),"")</f>
        <v/>
      </c>
      <c r="E33" s="18" t="s">
        <v>103</v>
      </c>
      <c r="F33" s="11" t="s">
        <v>19</v>
      </c>
      <c r="G33" s="11"/>
    </row>
    <row r="34" spans="1:7" ht="13.5" customHeight="1" x14ac:dyDescent="0.3">
      <c r="A34" s="7"/>
      <c r="B34" s="7" t="s">
        <v>169</v>
      </c>
      <c r="C34" s="19" t="str">
        <f>IFERROR(AVERAGEIF(Raw_Monthly_Data!D21:O21,"&lt;&gt;"),"")</f>
        <v/>
      </c>
      <c r="D34" s="19" t="str">
        <f>IFERROR(AVERAGEIF(Raw_Monthly_Data!P21:AA21,"&lt;&gt;"),"")</f>
        <v/>
      </c>
      <c r="E34" s="15" t="s">
        <v>103</v>
      </c>
      <c r="F34" s="7" t="s">
        <v>19</v>
      </c>
      <c r="G34" s="7"/>
    </row>
    <row r="36" spans="1:7" ht="15.75" customHeight="1" x14ac:dyDescent="0.3">
      <c r="A36" s="1" t="s">
        <v>170</v>
      </c>
      <c r="B36" s="1"/>
      <c r="C36" s="1"/>
      <c r="D36" s="1"/>
      <c r="E36" s="1"/>
      <c r="F36" s="1"/>
      <c r="G36" s="1"/>
    </row>
    <row r="37" spans="1:7" ht="13.5" customHeight="1" x14ac:dyDescent="0.3">
      <c r="A37" s="7"/>
      <c r="B37" s="7" t="s">
        <v>171</v>
      </c>
      <c r="C37" s="19">
        <f>SUM(Raw_Monthly_Data!D24:O24)</f>
        <v>0</v>
      </c>
      <c r="D37" s="19">
        <f>SUM(Raw_Monthly_Data!P24:AA24)</f>
        <v>0</v>
      </c>
      <c r="E37" s="15" t="s">
        <v>89</v>
      </c>
      <c r="F37" s="7" t="s">
        <v>19</v>
      </c>
      <c r="G37" s="7"/>
    </row>
    <row r="38" spans="1:7" ht="13.5" customHeight="1" x14ac:dyDescent="0.3">
      <c r="A38" s="11"/>
      <c r="B38" s="11" t="s">
        <v>172</v>
      </c>
      <c r="C38" s="20" t="str">
        <f>IFERROR(AVERAGEIF(Raw_Monthly_Data!D25:O25,"&lt;&gt;"),"")</f>
        <v/>
      </c>
      <c r="D38" s="20" t="str">
        <f>IFERROR(AVERAGEIF(Raw_Monthly_Data!P25:AA25,"&lt;&gt;"),"")</f>
        <v/>
      </c>
      <c r="E38" s="18" t="s">
        <v>89</v>
      </c>
      <c r="F38" s="11" t="s">
        <v>19</v>
      </c>
      <c r="G38" s="11" t="s">
        <v>173</v>
      </c>
    </row>
    <row r="39" spans="1:7" ht="13.5" customHeight="1" x14ac:dyDescent="0.3">
      <c r="A39" s="7"/>
      <c r="B39" s="7" t="s">
        <v>174</v>
      </c>
      <c r="C39" s="19" t="str">
        <f>IFERROR(AVERAGEIF(Raw_Monthly_Data!D26:O26,"&lt;&gt;"),"")</f>
        <v/>
      </c>
      <c r="D39" s="19" t="str">
        <f>IFERROR(AVERAGEIF(Raw_Monthly_Data!P26:AA26,"&lt;&gt;"),"")</f>
        <v/>
      </c>
      <c r="E39" s="15" t="s">
        <v>103</v>
      </c>
      <c r="F39" s="7" t="s">
        <v>19</v>
      </c>
      <c r="G39" s="7"/>
    </row>
    <row r="40" spans="1:7" ht="13.5" customHeight="1" x14ac:dyDescent="0.3">
      <c r="A40" s="11"/>
      <c r="B40" s="11" t="s">
        <v>175</v>
      </c>
      <c r="C40" s="20" t="str">
        <f>IFERROR(AVERAGEIF(Raw_Monthly_Data!D27:O27,"&lt;&gt;"),"")</f>
        <v/>
      </c>
      <c r="D40" s="20" t="str">
        <f>IFERROR(AVERAGEIF(Raw_Monthly_Data!P27:AA27,"&lt;&gt;"),"")</f>
        <v/>
      </c>
      <c r="E40" s="18" t="s">
        <v>111</v>
      </c>
      <c r="F40" s="11" t="s">
        <v>19</v>
      </c>
      <c r="G40" s="11"/>
    </row>
    <row r="42" spans="1:7" ht="15.75" customHeight="1" x14ac:dyDescent="0.3">
      <c r="A42" s="1" t="s">
        <v>176</v>
      </c>
      <c r="B42" s="1"/>
      <c r="C42" s="1"/>
      <c r="D42" s="1"/>
      <c r="E42" s="1"/>
      <c r="F42" s="1"/>
      <c r="G42" s="1"/>
    </row>
    <row r="43" spans="1:7" ht="13.5" customHeight="1" x14ac:dyDescent="0.3">
      <c r="A43" s="7"/>
      <c r="B43" s="7" t="s">
        <v>177</v>
      </c>
      <c r="C43" s="14"/>
      <c r="D43" s="14" t="s">
        <v>178</v>
      </c>
      <c r="E43" s="15" t="s">
        <v>89</v>
      </c>
      <c r="F43" s="7" t="s">
        <v>179</v>
      </c>
      <c r="G43" s="7" t="s">
        <v>180</v>
      </c>
    </row>
    <row r="44" spans="1:7" ht="13.5" customHeight="1" x14ac:dyDescent="0.3">
      <c r="A44" s="11"/>
      <c r="B44" s="11" t="s">
        <v>181</v>
      </c>
      <c r="C44" s="21"/>
      <c r="D44" s="21" t="s">
        <v>178</v>
      </c>
      <c r="E44" s="18" t="s">
        <v>103</v>
      </c>
      <c r="F44" s="11" t="s">
        <v>182</v>
      </c>
      <c r="G44" s="11" t="s">
        <v>183</v>
      </c>
    </row>
    <row r="45" spans="1:7" ht="13.5" customHeight="1" x14ac:dyDescent="0.3">
      <c r="A45" s="7"/>
      <c r="B45" s="7" t="s">
        <v>184</v>
      </c>
      <c r="C45" s="14"/>
      <c r="D45" s="14" t="s">
        <v>178</v>
      </c>
      <c r="E45" s="15" t="s">
        <v>100</v>
      </c>
      <c r="F45" s="7" t="s">
        <v>182</v>
      </c>
      <c r="G45" s="7" t="s">
        <v>185</v>
      </c>
    </row>
    <row r="46" spans="1:7" ht="13.5" customHeight="1" x14ac:dyDescent="0.3">
      <c r="A46" s="11"/>
      <c r="B46" s="11" t="s">
        <v>186</v>
      </c>
      <c r="C46" s="21"/>
      <c r="D46" s="21" t="s">
        <v>178</v>
      </c>
      <c r="E46" s="18" t="s">
        <v>89</v>
      </c>
      <c r="F46" s="11" t="s">
        <v>182</v>
      </c>
      <c r="G46" s="11"/>
    </row>
    <row r="47" spans="1:7" ht="13.5" customHeight="1" x14ac:dyDescent="0.3">
      <c r="A47" s="7"/>
      <c r="B47" s="7" t="s">
        <v>187</v>
      </c>
      <c r="C47" s="14"/>
      <c r="D47" s="14" t="s">
        <v>178</v>
      </c>
      <c r="E47" s="15" t="s">
        <v>100</v>
      </c>
      <c r="F47" s="7" t="s">
        <v>182</v>
      </c>
      <c r="G47" s="7" t="s">
        <v>188</v>
      </c>
    </row>
    <row r="48" spans="1:7" ht="13.5" customHeight="1" x14ac:dyDescent="0.3">
      <c r="A48" s="11"/>
      <c r="B48" s="11" t="s">
        <v>189</v>
      </c>
      <c r="C48" s="21"/>
      <c r="D48" s="21" t="s">
        <v>178</v>
      </c>
      <c r="E48" s="18" t="s">
        <v>89</v>
      </c>
      <c r="F48" s="11" t="s">
        <v>182</v>
      </c>
      <c r="G48" s="11"/>
    </row>
    <row r="49" spans="1:7" ht="13.5" customHeight="1" x14ac:dyDescent="0.3">
      <c r="A49" s="7"/>
      <c r="B49" s="7" t="s">
        <v>190</v>
      </c>
      <c r="C49" s="14"/>
      <c r="D49" s="14" t="s">
        <v>178</v>
      </c>
      <c r="E49" s="15" t="s">
        <v>100</v>
      </c>
      <c r="F49" s="7" t="s">
        <v>182</v>
      </c>
      <c r="G49" s="7" t="s">
        <v>191</v>
      </c>
    </row>
    <row r="50" spans="1:7" ht="13.5" customHeight="1" x14ac:dyDescent="0.3">
      <c r="A50" s="11"/>
      <c r="B50" s="11" t="s">
        <v>192</v>
      </c>
      <c r="C50" s="21"/>
      <c r="D50" s="21" t="s">
        <v>178</v>
      </c>
      <c r="E50" s="18" t="s">
        <v>89</v>
      </c>
      <c r="F50" s="11" t="s">
        <v>182</v>
      </c>
      <c r="G50" s="11"/>
    </row>
    <row r="52" spans="1:7" ht="15.75" customHeight="1" x14ac:dyDescent="0.3">
      <c r="A52" s="1" t="s">
        <v>193</v>
      </c>
      <c r="B52" s="1"/>
      <c r="C52" s="1"/>
      <c r="D52" s="1"/>
      <c r="E52" s="1"/>
      <c r="F52" s="1"/>
      <c r="G52" s="1"/>
    </row>
    <row r="53" spans="1:7" ht="13.5" customHeight="1" x14ac:dyDescent="0.3">
      <c r="A53" s="7"/>
      <c r="B53" s="7" t="s">
        <v>194</v>
      </c>
      <c r="C53" s="14"/>
      <c r="D53" s="14" t="s">
        <v>178</v>
      </c>
      <c r="E53" s="15" t="s">
        <v>195</v>
      </c>
      <c r="F53" s="7" t="s">
        <v>196</v>
      </c>
      <c r="G53" s="7" t="s">
        <v>197</v>
      </c>
    </row>
    <row r="54" spans="1:7" ht="13.5" customHeight="1" x14ac:dyDescent="0.3">
      <c r="A54" s="11"/>
      <c r="B54" s="11" t="s">
        <v>198</v>
      </c>
      <c r="C54" s="21"/>
      <c r="D54" s="21" t="s">
        <v>178</v>
      </c>
      <c r="E54" s="18" t="s">
        <v>195</v>
      </c>
      <c r="F54" s="11" t="s">
        <v>196</v>
      </c>
      <c r="G54" s="11" t="s">
        <v>199</v>
      </c>
    </row>
    <row r="55" spans="1:7" ht="13.5" customHeight="1" x14ac:dyDescent="0.3">
      <c r="A55" s="7"/>
      <c r="B55" s="7" t="s">
        <v>200</v>
      </c>
      <c r="C55" s="14"/>
      <c r="D55" s="14" t="s">
        <v>178</v>
      </c>
      <c r="E55" s="15" t="s">
        <v>195</v>
      </c>
      <c r="F55" s="7" t="s">
        <v>196</v>
      </c>
      <c r="G55" s="7"/>
    </row>
    <row r="56" spans="1:7" ht="13.5" customHeight="1" x14ac:dyDescent="0.3">
      <c r="A56" s="11"/>
      <c r="B56" s="11" t="s">
        <v>201</v>
      </c>
      <c r="C56" s="21"/>
      <c r="D56" s="21" t="s">
        <v>178</v>
      </c>
      <c r="E56" s="18" t="s">
        <v>195</v>
      </c>
      <c r="F56" s="11" t="s">
        <v>196</v>
      </c>
      <c r="G56" s="11" t="s">
        <v>202</v>
      </c>
    </row>
    <row r="57" spans="1:7" ht="13.5" customHeight="1" x14ac:dyDescent="0.3">
      <c r="A57" s="7"/>
      <c r="B57" s="7" t="s">
        <v>203</v>
      </c>
      <c r="C57" s="14"/>
      <c r="D57" s="14" t="s">
        <v>178</v>
      </c>
      <c r="E57" s="15" t="s">
        <v>195</v>
      </c>
      <c r="F57" s="7" t="s">
        <v>196</v>
      </c>
      <c r="G57" s="7"/>
    </row>
    <row r="58" spans="1:7" ht="13.5" customHeight="1" x14ac:dyDescent="0.3">
      <c r="A58" s="11"/>
      <c r="B58" s="11" t="s">
        <v>204</v>
      </c>
      <c r="C58" s="21"/>
      <c r="D58" s="21" t="s">
        <v>178</v>
      </c>
      <c r="E58" s="18" t="s">
        <v>195</v>
      </c>
      <c r="F58" s="11" t="s">
        <v>196</v>
      </c>
      <c r="G58" s="11"/>
    </row>
    <row r="59" spans="1:7" ht="13.5" customHeight="1" x14ac:dyDescent="0.3">
      <c r="A59" s="7"/>
      <c r="B59" s="7" t="s">
        <v>205</v>
      </c>
      <c r="C59" s="14"/>
      <c r="D59" s="14" t="s">
        <v>178</v>
      </c>
      <c r="E59" s="15" t="s">
        <v>195</v>
      </c>
      <c r="F59" s="7" t="s">
        <v>196</v>
      </c>
      <c r="G59" s="7" t="s">
        <v>206</v>
      </c>
    </row>
    <row r="60" spans="1:7" ht="13.5" customHeight="1" x14ac:dyDescent="0.3">
      <c r="A60" s="11"/>
      <c r="B60" s="11" t="s">
        <v>207</v>
      </c>
      <c r="C60" s="21"/>
      <c r="D60" s="21" t="s">
        <v>178</v>
      </c>
      <c r="E60" s="18" t="s">
        <v>195</v>
      </c>
      <c r="F60" s="11" t="s">
        <v>196</v>
      </c>
      <c r="G60" s="11"/>
    </row>
    <row r="62" spans="1:7" ht="15.75" customHeight="1" x14ac:dyDescent="0.3">
      <c r="A62" s="1" t="s">
        <v>208</v>
      </c>
      <c r="B62" s="1"/>
      <c r="C62" s="1"/>
      <c r="D62" s="1"/>
      <c r="E62" s="1"/>
      <c r="F62" s="1"/>
      <c r="G62" s="1"/>
    </row>
    <row r="63" spans="1:7" ht="13.5" customHeight="1" x14ac:dyDescent="0.3">
      <c r="A63" s="7"/>
      <c r="B63" s="7" t="s">
        <v>209</v>
      </c>
      <c r="C63" s="14"/>
      <c r="D63" s="14" t="s">
        <v>178</v>
      </c>
      <c r="E63" s="15" t="s">
        <v>195</v>
      </c>
      <c r="F63" s="7" t="s">
        <v>182</v>
      </c>
      <c r="G63" s="7" t="s">
        <v>210</v>
      </c>
    </row>
    <row r="64" spans="1:7" ht="13.5" customHeight="1" x14ac:dyDescent="0.3">
      <c r="A64" s="11"/>
      <c r="B64" s="11" t="s">
        <v>211</v>
      </c>
      <c r="C64" s="21"/>
      <c r="D64" s="21" t="s">
        <v>178</v>
      </c>
      <c r="E64" s="18" t="s">
        <v>195</v>
      </c>
      <c r="F64" s="11" t="s">
        <v>182</v>
      </c>
      <c r="G64" s="11"/>
    </row>
    <row r="65" spans="1:7" ht="13.5" customHeight="1" x14ac:dyDescent="0.3">
      <c r="A65" s="7"/>
      <c r="B65" s="7" t="s">
        <v>212</v>
      </c>
      <c r="C65" s="14"/>
      <c r="D65" s="14" t="s">
        <v>178</v>
      </c>
      <c r="E65" s="15" t="s">
        <v>195</v>
      </c>
      <c r="F65" s="7" t="s">
        <v>182</v>
      </c>
      <c r="G65" s="7"/>
    </row>
    <row r="66" spans="1:7" ht="13.5" customHeight="1" x14ac:dyDescent="0.3">
      <c r="A66" s="11"/>
      <c r="B66" s="11" t="s">
        <v>213</v>
      </c>
      <c r="C66" s="21"/>
      <c r="D66" s="21" t="s">
        <v>178</v>
      </c>
      <c r="E66" s="18" t="s">
        <v>195</v>
      </c>
      <c r="F66" s="11" t="s">
        <v>182</v>
      </c>
      <c r="G66" s="11"/>
    </row>
    <row r="68" spans="1:7" ht="15.75" customHeight="1" x14ac:dyDescent="0.3">
      <c r="A68" s="1" t="s">
        <v>214</v>
      </c>
      <c r="B68" s="1"/>
      <c r="C68" s="1"/>
      <c r="D68" s="1"/>
      <c r="E68" s="1"/>
      <c r="F68" s="1"/>
      <c r="G68" s="1"/>
    </row>
    <row r="69" spans="1:7" ht="13.5" customHeight="1" x14ac:dyDescent="0.3">
      <c r="A69" s="7"/>
      <c r="B69" s="7" t="s">
        <v>215</v>
      </c>
      <c r="C69" s="14"/>
      <c r="D69" s="14" t="s">
        <v>178</v>
      </c>
      <c r="E69" s="15" t="s">
        <v>216</v>
      </c>
      <c r="F69" s="7" t="s">
        <v>196</v>
      </c>
      <c r="G69" s="7" t="s">
        <v>217</v>
      </c>
    </row>
    <row r="70" spans="1:7" ht="13.5" customHeight="1" x14ac:dyDescent="0.3">
      <c r="A70" s="11"/>
      <c r="B70" s="11" t="s">
        <v>218</v>
      </c>
      <c r="C70" s="21"/>
      <c r="D70" s="21" t="s">
        <v>178</v>
      </c>
      <c r="E70" s="18" t="s">
        <v>216</v>
      </c>
      <c r="F70" s="11" t="s">
        <v>196</v>
      </c>
      <c r="G70" s="11"/>
    </row>
    <row r="71" spans="1:7" ht="13.5" customHeight="1" x14ac:dyDescent="0.3">
      <c r="A71" s="7"/>
      <c r="B71" s="7" t="s">
        <v>219</v>
      </c>
      <c r="C71" s="14"/>
      <c r="D71" s="14" t="s">
        <v>178</v>
      </c>
      <c r="E71" s="15" t="s">
        <v>216</v>
      </c>
      <c r="F71" s="7" t="s">
        <v>196</v>
      </c>
      <c r="G71" s="7" t="s">
        <v>220</v>
      </c>
    </row>
    <row r="72" spans="1:7" ht="13.5" customHeight="1" x14ac:dyDescent="0.3">
      <c r="A72" s="11"/>
      <c r="B72" s="11" t="s">
        <v>221</v>
      </c>
      <c r="C72" s="21"/>
      <c r="D72" s="21" t="s">
        <v>178</v>
      </c>
      <c r="E72" s="18" t="s">
        <v>216</v>
      </c>
      <c r="F72" s="11" t="s">
        <v>196</v>
      </c>
      <c r="G72" s="11" t="s">
        <v>222</v>
      </c>
    </row>
  </sheetData>
  <mergeCells count="11">
    <mergeCell ref="A68:G68"/>
    <mergeCell ref="A31:G31"/>
    <mergeCell ref="A36:G36"/>
    <mergeCell ref="A42:G42"/>
    <mergeCell ref="A52:G52"/>
    <mergeCell ref="A62:G62"/>
    <mergeCell ref="A1:G1"/>
    <mergeCell ref="A2:G2"/>
    <mergeCell ref="A4:G4"/>
    <mergeCell ref="A11:G11"/>
    <mergeCell ref="A23:G2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1"/>
  <sheetViews>
    <sheetView showGridLines="0" zoomScaleNormal="100" workbookViewId="0"/>
  </sheetViews>
  <sheetFormatPr defaultColWidth="8.6640625" defaultRowHeight="14.4" x14ac:dyDescent="0.3"/>
  <cols>
    <col min="1" max="1" width="2" customWidth="1"/>
    <col min="2" max="2" width="40" customWidth="1"/>
    <col min="3" max="4" width="14" customWidth="1"/>
    <col min="5" max="5" width="6" customWidth="1"/>
    <col min="6" max="7" width="10" customWidth="1"/>
    <col min="8" max="8" width="18" customWidth="1"/>
    <col min="9" max="9" width="30" customWidth="1"/>
    <col min="10" max="10" width="14" customWidth="1"/>
    <col min="11" max="11" width="50" customWidth="1"/>
  </cols>
  <sheetData>
    <row r="1" spans="1:11" ht="25.5" customHeight="1" x14ac:dyDescent="0.3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13.5" customHeight="1" x14ac:dyDescent="0.3">
      <c r="A2" s="2" t="s">
        <v>224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18" customHeight="1" x14ac:dyDescent="0.3">
      <c r="A3" s="6"/>
      <c r="B3" s="6" t="s">
        <v>60</v>
      </c>
      <c r="C3" s="6" t="s">
        <v>125</v>
      </c>
      <c r="D3" s="6" t="s">
        <v>126</v>
      </c>
      <c r="E3" s="6" t="s">
        <v>61</v>
      </c>
      <c r="F3" s="6" t="s">
        <v>225</v>
      </c>
      <c r="G3" s="6" t="s">
        <v>226</v>
      </c>
      <c r="H3" s="6" t="s">
        <v>227</v>
      </c>
      <c r="I3" s="6" t="s">
        <v>228</v>
      </c>
      <c r="J3" s="6" t="s">
        <v>47</v>
      </c>
      <c r="K3" s="6" t="s">
        <v>229</v>
      </c>
    </row>
    <row r="4" spans="1:11" ht="15.75" customHeight="1" x14ac:dyDescent="0.3">
      <c r="A4" s="1" t="s">
        <v>230</v>
      </c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15" customHeight="1" x14ac:dyDescent="0.3">
      <c r="A5" s="7"/>
      <c r="B5" s="7" t="s">
        <v>231</v>
      </c>
      <c r="C5" s="22">
        <f>Input_Fields!C12</f>
        <v>0</v>
      </c>
      <c r="D5" s="22">
        <f>Input_Fields!D12</f>
        <v>0</v>
      </c>
      <c r="E5" s="15" t="s">
        <v>89</v>
      </c>
      <c r="F5" s="14">
        <f>IFERROR(D5-C5,"")</f>
        <v>0</v>
      </c>
      <c r="G5" s="23" t="str">
        <f>IFERROR(IF(C5&lt;&gt;0,(D5-C5)/ABS(C5),"—"),"")</f>
        <v>—</v>
      </c>
      <c r="H5" s="7"/>
      <c r="I5" s="7" t="s">
        <v>232</v>
      </c>
      <c r="J5" s="7" t="s">
        <v>19</v>
      </c>
      <c r="K5" s="24"/>
    </row>
    <row r="6" spans="1:11" ht="15" customHeight="1" x14ac:dyDescent="0.3">
      <c r="A6" s="11"/>
      <c r="B6" s="11" t="s">
        <v>233</v>
      </c>
      <c r="C6" s="25">
        <f>Input_Fields!C13</f>
        <v>0</v>
      </c>
      <c r="D6" s="25">
        <f>Input_Fields!D13</f>
        <v>0</v>
      </c>
      <c r="E6" s="18" t="s">
        <v>89</v>
      </c>
      <c r="F6" s="21">
        <f>IFERROR(D6-C6,"")</f>
        <v>0</v>
      </c>
      <c r="G6" s="26" t="str">
        <f>IFERROR(IF(C6&lt;&gt;0,(D6-C6)/ABS(C6),"—"),"")</f>
        <v>—</v>
      </c>
      <c r="H6" s="11"/>
      <c r="I6" s="11" t="s">
        <v>234</v>
      </c>
      <c r="J6" s="11" t="s">
        <v>19</v>
      </c>
      <c r="K6" s="27"/>
    </row>
    <row r="7" spans="1:11" ht="15" customHeight="1" x14ac:dyDescent="0.3">
      <c r="A7" s="7"/>
      <c r="B7" s="7" t="s">
        <v>235</v>
      </c>
      <c r="C7" s="14">
        <f>Input_Fields!C19</f>
        <v>0</v>
      </c>
      <c r="D7" s="14">
        <f>Input_Fields!D19</f>
        <v>0</v>
      </c>
      <c r="E7" s="15" t="s">
        <v>89</v>
      </c>
      <c r="F7" s="14">
        <f>IFERROR(D7-C7,"")</f>
        <v>0</v>
      </c>
      <c r="G7" s="23" t="str">
        <f>IFERROR(IF(C7&lt;&gt;0,(D7-C7)/ABS(C7),"—"),"")</f>
        <v>—</v>
      </c>
      <c r="H7" s="7"/>
      <c r="I7" s="7" t="s">
        <v>236</v>
      </c>
      <c r="J7" s="7" t="s">
        <v>19</v>
      </c>
      <c r="K7" s="24"/>
    </row>
    <row r="8" spans="1:11" ht="15" customHeight="1" x14ac:dyDescent="0.3">
      <c r="A8" s="11"/>
      <c r="B8" s="11" t="s">
        <v>237</v>
      </c>
      <c r="C8" s="21" t="s">
        <v>131</v>
      </c>
      <c r="D8" s="21" t="str">
        <f>Input_Fields!D20</f>
        <v>—</v>
      </c>
      <c r="E8" s="18" t="s">
        <v>103</v>
      </c>
      <c r="F8" s="21"/>
      <c r="G8" s="18"/>
      <c r="H8" s="11" t="s">
        <v>238</v>
      </c>
      <c r="I8" s="11" t="s">
        <v>239</v>
      </c>
      <c r="J8" s="11" t="s">
        <v>157</v>
      </c>
      <c r="K8" s="27"/>
    </row>
    <row r="9" spans="1:11" ht="15" customHeight="1" x14ac:dyDescent="0.3">
      <c r="A9" s="7"/>
      <c r="B9" s="7" t="s">
        <v>240</v>
      </c>
      <c r="C9" s="14">
        <f>Input_Fields!C14</f>
        <v>0</v>
      </c>
      <c r="D9" s="14">
        <f>Input_Fields!D14</f>
        <v>0</v>
      </c>
      <c r="E9" s="15" t="s">
        <v>89</v>
      </c>
      <c r="F9" s="14">
        <f>IFERROR(D9-C9,"")</f>
        <v>0</v>
      </c>
      <c r="G9" s="23" t="str">
        <f>IFERROR(IF(C9&lt;&gt;0,(D9-C9)/ABS(C9),"—"),"")</f>
        <v>—</v>
      </c>
      <c r="H9" s="7"/>
      <c r="I9" s="7"/>
      <c r="J9" s="7" t="s">
        <v>19</v>
      </c>
      <c r="K9" s="24"/>
    </row>
    <row r="10" spans="1:11" ht="15" customHeight="1" x14ac:dyDescent="0.3">
      <c r="A10" s="11"/>
      <c r="B10" s="11" t="s">
        <v>241</v>
      </c>
      <c r="C10" s="21">
        <f>Input_Fields!C15</f>
        <v>0</v>
      </c>
      <c r="D10" s="21">
        <f>Input_Fields!D15</f>
        <v>0</v>
      </c>
      <c r="E10" s="18" t="s">
        <v>89</v>
      </c>
      <c r="F10" s="21">
        <f>IFERROR(D10-C10,"")</f>
        <v>0</v>
      </c>
      <c r="G10" s="26" t="str">
        <f>IFERROR(IF(C10&lt;&gt;0,(D10-C10)/ABS(C10),"—"),"")</f>
        <v>—</v>
      </c>
      <c r="H10" s="11"/>
      <c r="I10" s="11"/>
      <c r="J10" s="11" t="s">
        <v>19</v>
      </c>
      <c r="K10" s="27"/>
    </row>
    <row r="11" spans="1:11" ht="15" customHeight="1" x14ac:dyDescent="0.3">
      <c r="A11" s="7"/>
      <c r="B11" s="7" t="s">
        <v>242</v>
      </c>
      <c r="C11" s="14">
        <f>Input_Fields!C17</f>
        <v>0</v>
      </c>
      <c r="D11" s="14">
        <f>Input_Fields!D17</f>
        <v>0</v>
      </c>
      <c r="E11" s="15" t="s">
        <v>89</v>
      </c>
      <c r="F11" s="14">
        <f>IFERROR(D11-C11,"")</f>
        <v>0</v>
      </c>
      <c r="G11" s="23" t="str">
        <f>IFERROR(IF(C11&lt;&gt;0,(D11-C11)/ABS(C11),"—"),"")</f>
        <v>—</v>
      </c>
      <c r="H11" s="7"/>
      <c r="I11" s="7" t="s">
        <v>152</v>
      </c>
      <c r="J11" s="7" t="s">
        <v>19</v>
      </c>
      <c r="K11" s="24"/>
    </row>
    <row r="13" spans="1:11" ht="15.75" customHeight="1" x14ac:dyDescent="0.3">
      <c r="A13" s="1" t="s">
        <v>243</v>
      </c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ht="15" customHeight="1" x14ac:dyDescent="0.3">
      <c r="A14" s="7"/>
      <c r="B14" s="7" t="s">
        <v>244</v>
      </c>
      <c r="C14" s="14" t="str">
        <f>Input_Fields!C32</f>
        <v/>
      </c>
      <c r="D14" s="14" t="str">
        <f>Input_Fields!D32</f>
        <v/>
      </c>
      <c r="E14" s="15" t="s">
        <v>103</v>
      </c>
      <c r="F14" s="14" t="str">
        <f>IFERROR(D14-C14,"")</f>
        <v/>
      </c>
      <c r="G14" s="23" t="str">
        <f>IFERROR(IF(C14&lt;&gt;0,(D14-C14)/ABS(C14),"—"),"")</f>
        <v/>
      </c>
      <c r="H14" s="7" t="s">
        <v>245</v>
      </c>
      <c r="I14" s="7" t="s">
        <v>246</v>
      </c>
      <c r="J14" s="7" t="s">
        <v>19</v>
      </c>
      <c r="K14" s="24"/>
    </row>
    <row r="15" spans="1:11" ht="15" customHeight="1" x14ac:dyDescent="0.3">
      <c r="A15" s="11"/>
      <c r="B15" s="11" t="s">
        <v>247</v>
      </c>
      <c r="C15" s="21" t="str">
        <f>Input_Fields!C33</f>
        <v/>
      </c>
      <c r="D15" s="21" t="str">
        <f>Input_Fields!D33</f>
        <v/>
      </c>
      <c r="E15" s="18" t="s">
        <v>103</v>
      </c>
      <c r="F15" s="21" t="str">
        <f>IFERROR(D15-C15,"")</f>
        <v/>
      </c>
      <c r="G15" s="26" t="str">
        <f>IFERROR(IF(C15&lt;&gt;0,(D15-C15)/ABS(C15),"—"),"")</f>
        <v/>
      </c>
      <c r="H15" s="11" t="s">
        <v>248</v>
      </c>
      <c r="I15" s="11" t="s">
        <v>246</v>
      </c>
      <c r="J15" s="11" t="s">
        <v>19</v>
      </c>
      <c r="K15" s="27"/>
    </row>
    <row r="16" spans="1:11" ht="15" customHeight="1" x14ac:dyDescent="0.3">
      <c r="A16" s="7"/>
      <c r="B16" s="7" t="s">
        <v>249</v>
      </c>
      <c r="C16" s="14" t="str">
        <f>Input_Fields!C34</f>
        <v/>
      </c>
      <c r="D16" s="14" t="str">
        <f>Input_Fields!D34</f>
        <v/>
      </c>
      <c r="E16" s="15" t="s">
        <v>103</v>
      </c>
      <c r="F16" s="14" t="str">
        <f>IFERROR(D16-C16,"")</f>
        <v/>
      </c>
      <c r="G16" s="23" t="str">
        <f>IFERROR(IF(C16&lt;&gt;0,(D16-C16)/ABS(C16),"—"),"")</f>
        <v/>
      </c>
      <c r="H16" s="7" t="s">
        <v>250</v>
      </c>
      <c r="I16" s="7" t="s">
        <v>246</v>
      </c>
      <c r="J16" s="7" t="s">
        <v>19</v>
      </c>
      <c r="K16" s="24"/>
    </row>
    <row r="18" spans="1:11" ht="15.75" customHeight="1" x14ac:dyDescent="0.3">
      <c r="A18" s="1" t="s">
        <v>251</v>
      </c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5" customHeight="1" x14ac:dyDescent="0.3">
      <c r="A19" s="7"/>
      <c r="B19" s="7" t="s">
        <v>252</v>
      </c>
      <c r="C19" s="14" t="str">
        <f>Input_Fields!C39</f>
        <v/>
      </c>
      <c r="D19" s="14" t="str">
        <f>Input_Fields!D39</f>
        <v/>
      </c>
      <c r="E19" s="15" t="s">
        <v>103</v>
      </c>
      <c r="F19" s="14" t="str">
        <f>IFERROR(D19-C19,"")</f>
        <v/>
      </c>
      <c r="G19" s="23" t="str">
        <f>IFERROR(IF(C19&lt;&gt;0,(D19-C19)/ABS(C19),"—"),"")</f>
        <v/>
      </c>
      <c r="H19" s="7" t="s">
        <v>253</v>
      </c>
      <c r="I19" s="7" t="s">
        <v>246</v>
      </c>
      <c r="J19" s="7" t="s">
        <v>19</v>
      </c>
      <c r="K19" s="24"/>
    </row>
    <row r="20" spans="1:11" ht="15" customHeight="1" x14ac:dyDescent="0.3">
      <c r="A20" s="11"/>
      <c r="B20" s="11" t="s">
        <v>254</v>
      </c>
      <c r="C20" s="21" t="str">
        <f>Input_Fields!C38</f>
        <v/>
      </c>
      <c r="D20" s="21" t="str">
        <f>Input_Fields!D38</f>
        <v/>
      </c>
      <c r="E20" s="18" t="s">
        <v>89</v>
      </c>
      <c r="F20" s="21" t="str">
        <f>IFERROR(D20-C20,"")</f>
        <v/>
      </c>
      <c r="G20" s="26" t="str">
        <f>IFERROR(IF(C20&lt;&gt;0,(D20-C20)/ABS(C20),"—"),"")</f>
        <v/>
      </c>
      <c r="H20" s="11"/>
      <c r="I20" s="11" t="s">
        <v>246</v>
      </c>
      <c r="J20" s="11" t="s">
        <v>19</v>
      </c>
      <c r="K20" s="27"/>
    </row>
    <row r="21" spans="1:11" ht="15" customHeight="1" x14ac:dyDescent="0.3">
      <c r="A21" s="7"/>
      <c r="B21" s="7" t="s">
        <v>255</v>
      </c>
      <c r="C21" s="14">
        <f>Input_Fields!C37</f>
        <v>0</v>
      </c>
      <c r="D21" s="14">
        <f>Input_Fields!D37</f>
        <v>0</v>
      </c>
      <c r="E21" s="15" t="s">
        <v>89</v>
      </c>
      <c r="F21" s="14">
        <f>IFERROR(D21-C21,"")</f>
        <v>0</v>
      </c>
      <c r="G21" s="23" t="str">
        <f>IFERROR(IF(C21&lt;&gt;0,(D21-C21)/ABS(C21),"—"),"")</f>
        <v>—</v>
      </c>
      <c r="H21" s="7"/>
      <c r="I21" s="7"/>
      <c r="J21" s="7" t="s">
        <v>19</v>
      </c>
      <c r="K21" s="24"/>
    </row>
    <row r="22" spans="1:11" ht="15" customHeight="1" x14ac:dyDescent="0.3">
      <c r="A22" s="11"/>
      <c r="B22" s="11" t="s">
        <v>256</v>
      </c>
      <c r="C22" s="21" t="str">
        <f>Input_Fields!C40</f>
        <v/>
      </c>
      <c r="D22" s="21" t="str">
        <f>Input_Fields!D40</f>
        <v/>
      </c>
      <c r="E22" s="18" t="s">
        <v>111</v>
      </c>
      <c r="F22" s="21" t="str">
        <f>IFERROR(D22-C22,"")</f>
        <v/>
      </c>
      <c r="G22" s="26" t="str">
        <f>IFERROR(IF(C22&lt;&gt;0,(D22-C22)/ABS(C22),"—"),"")</f>
        <v/>
      </c>
      <c r="H22" s="11" t="s">
        <v>257</v>
      </c>
      <c r="I22" s="11" t="s">
        <v>246</v>
      </c>
      <c r="J22" s="11" t="s">
        <v>19</v>
      </c>
      <c r="K22" s="27"/>
    </row>
    <row r="23" spans="1:11" ht="15" customHeight="1" x14ac:dyDescent="0.3">
      <c r="A23" s="7"/>
      <c r="B23" s="7" t="s">
        <v>258</v>
      </c>
      <c r="C23" s="14" t="s">
        <v>131</v>
      </c>
      <c r="D23" s="14" t="str">
        <f>IF(SUM(Raw_Monthly_Data!M24:O24)&lt;&gt;0,SUM(Raw_Monthly_Data!P12:R12)*4/SUM(Raw_Monthly_Data!M24:O24),"—")</f>
        <v>—</v>
      </c>
      <c r="E23" s="15" t="s">
        <v>111</v>
      </c>
      <c r="F23" s="14"/>
      <c r="G23" s="15"/>
      <c r="H23" s="7" t="s">
        <v>259</v>
      </c>
      <c r="I23" s="7" t="s">
        <v>260</v>
      </c>
      <c r="J23" s="7" t="s">
        <v>157</v>
      </c>
      <c r="K23" s="24"/>
    </row>
    <row r="25" spans="1:11" ht="15.75" customHeight="1" x14ac:dyDescent="0.3">
      <c r="A25" s="1" t="s">
        <v>261</v>
      </c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 customHeight="1" x14ac:dyDescent="0.3">
      <c r="A26" s="7"/>
      <c r="B26" s="7" t="s">
        <v>262</v>
      </c>
      <c r="C26" s="14" t="s">
        <v>131</v>
      </c>
      <c r="D26" s="14" t="str">
        <f>Input_Fields!D43</f>
        <v>[enter]</v>
      </c>
      <c r="E26" s="15" t="s">
        <v>89</v>
      </c>
      <c r="F26" s="14"/>
      <c r="G26" s="15"/>
      <c r="H26" s="7"/>
      <c r="I26" s="7" t="s">
        <v>263</v>
      </c>
      <c r="J26" s="7" t="s">
        <v>22</v>
      </c>
      <c r="K26" s="24"/>
    </row>
    <row r="27" spans="1:11" ht="15" customHeight="1" x14ac:dyDescent="0.3">
      <c r="A27" s="11"/>
      <c r="B27" s="11" t="s">
        <v>264</v>
      </c>
      <c r="C27" s="21" t="s">
        <v>131</v>
      </c>
      <c r="D27" s="21" t="str">
        <f>Input_Fields!D44</f>
        <v>[enter]</v>
      </c>
      <c r="E27" s="18" t="s">
        <v>103</v>
      </c>
      <c r="F27" s="21"/>
      <c r="G27" s="18"/>
      <c r="H27" s="11" t="s">
        <v>265</v>
      </c>
      <c r="I27" s="11" t="s">
        <v>266</v>
      </c>
      <c r="J27" s="11" t="s">
        <v>22</v>
      </c>
      <c r="K27" s="27"/>
    </row>
    <row r="28" spans="1:11" ht="15" customHeight="1" x14ac:dyDescent="0.3">
      <c r="A28" s="7"/>
      <c r="B28" s="7" t="s">
        <v>267</v>
      </c>
      <c r="C28" s="14">
        <f>Input_Fields!C28</f>
        <v>0</v>
      </c>
      <c r="D28" s="14">
        <f>Input_Fields!D28</f>
        <v>0</v>
      </c>
      <c r="E28" s="15" t="s">
        <v>100</v>
      </c>
      <c r="F28" s="14">
        <f>IFERROR(D28-C28,"")</f>
        <v>0</v>
      </c>
      <c r="G28" s="23" t="str">
        <f>IFERROR(IF(C28&lt;&gt;0,(D28-C28)/ABS(C28),"—"),"")</f>
        <v>—</v>
      </c>
      <c r="H28" s="7"/>
      <c r="I28" s="7"/>
      <c r="J28" s="7" t="s">
        <v>22</v>
      </c>
      <c r="K28" s="24"/>
    </row>
    <row r="29" spans="1:11" ht="15" customHeight="1" x14ac:dyDescent="0.3">
      <c r="A29" s="11"/>
      <c r="B29" s="11" t="s">
        <v>268</v>
      </c>
      <c r="C29" s="21">
        <f>Input_Fields!C29</f>
        <v>0</v>
      </c>
      <c r="D29" s="21">
        <f>Input_Fields!D29</f>
        <v>0</v>
      </c>
      <c r="E29" s="18" t="s">
        <v>89</v>
      </c>
      <c r="F29" s="21">
        <f>IFERROR(D29-C29,"")</f>
        <v>0</v>
      </c>
      <c r="G29" s="26" t="str">
        <f>IFERROR(IF(C29&lt;&gt;0,(D29-C29)/ABS(C29),"—"),"")</f>
        <v>—</v>
      </c>
      <c r="H29" s="11"/>
      <c r="I29" s="11"/>
      <c r="J29" s="11" t="s">
        <v>22</v>
      </c>
      <c r="K29" s="27"/>
    </row>
    <row r="31" spans="1:11" ht="15.75" customHeight="1" x14ac:dyDescent="0.3">
      <c r="A31" s="1" t="s">
        <v>269</v>
      </c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 customHeight="1" x14ac:dyDescent="0.3">
      <c r="A32" s="7"/>
      <c r="B32" s="7" t="s">
        <v>194</v>
      </c>
      <c r="C32" s="14" t="s">
        <v>131</v>
      </c>
      <c r="D32" s="14" t="str">
        <f>Input_Fields!D53</f>
        <v>[enter]</v>
      </c>
      <c r="E32" s="15" t="s">
        <v>195</v>
      </c>
      <c r="F32" s="14"/>
      <c r="G32" s="15"/>
      <c r="H32" s="7" t="s">
        <v>270</v>
      </c>
      <c r="I32" s="7" t="s">
        <v>271</v>
      </c>
      <c r="J32" s="7" t="s">
        <v>22</v>
      </c>
      <c r="K32" s="24"/>
    </row>
    <row r="33" spans="1:11" ht="15" customHeight="1" x14ac:dyDescent="0.3">
      <c r="A33" s="11"/>
      <c r="B33" s="11" t="s">
        <v>198</v>
      </c>
      <c r="C33" s="21" t="s">
        <v>131</v>
      </c>
      <c r="D33" s="21" t="str">
        <f>Input_Fields!D54</f>
        <v>[enter]</v>
      </c>
      <c r="E33" s="18" t="s">
        <v>195</v>
      </c>
      <c r="F33" s="21"/>
      <c r="G33" s="18"/>
      <c r="H33" s="11" t="s">
        <v>272</v>
      </c>
      <c r="I33" s="11" t="s">
        <v>273</v>
      </c>
      <c r="J33" s="11" t="s">
        <v>22</v>
      </c>
      <c r="K33" s="27"/>
    </row>
    <row r="34" spans="1:11" ht="15" customHeight="1" x14ac:dyDescent="0.3">
      <c r="A34" s="7"/>
      <c r="B34" s="7" t="s">
        <v>200</v>
      </c>
      <c r="C34" s="14" t="s">
        <v>131</v>
      </c>
      <c r="D34" s="14" t="str">
        <f>Input_Fields!D55</f>
        <v>[enter]</v>
      </c>
      <c r="E34" s="15" t="s">
        <v>195</v>
      </c>
      <c r="F34" s="14"/>
      <c r="G34" s="15"/>
      <c r="H34" s="7" t="s">
        <v>274</v>
      </c>
      <c r="I34" s="7" t="s">
        <v>275</v>
      </c>
      <c r="J34" s="7" t="s">
        <v>22</v>
      </c>
      <c r="K34" s="24"/>
    </row>
    <row r="35" spans="1:11" ht="15" customHeight="1" x14ac:dyDescent="0.3">
      <c r="A35" s="11"/>
      <c r="B35" s="11" t="s">
        <v>201</v>
      </c>
      <c r="C35" s="21" t="s">
        <v>131</v>
      </c>
      <c r="D35" s="21" t="str">
        <f>Input_Fields!D56</f>
        <v>[enter]</v>
      </c>
      <c r="E35" s="18" t="s">
        <v>195</v>
      </c>
      <c r="F35" s="21"/>
      <c r="G35" s="18"/>
      <c r="H35" s="11" t="s">
        <v>276</v>
      </c>
      <c r="I35" s="11" t="s">
        <v>277</v>
      </c>
      <c r="J35" s="11" t="s">
        <v>22</v>
      </c>
      <c r="K35" s="27"/>
    </row>
    <row r="36" spans="1:11" ht="15" customHeight="1" x14ac:dyDescent="0.3">
      <c r="A36" s="7"/>
      <c r="B36" s="7" t="s">
        <v>203</v>
      </c>
      <c r="C36" s="14" t="s">
        <v>131</v>
      </c>
      <c r="D36" s="14" t="str">
        <f>Input_Fields!D57</f>
        <v>[enter]</v>
      </c>
      <c r="E36" s="15" t="s">
        <v>195</v>
      </c>
      <c r="F36" s="14"/>
      <c r="G36" s="15"/>
      <c r="H36" s="7" t="s">
        <v>278</v>
      </c>
      <c r="I36" s="7"/>
      <c r="J36" s="7" t="s">
        <v>22</v>
      </c>
      <c r="K36" s="24"/>
    </row>
    <row r="37" spans="1:11" ht="15" customHeight="1" x14ac:dyDescent="0.3">
      <c r="A37" s="11"/>
      <c r="B37" s="11" t="s">
        <v>204</v>
      </c>
      <c r="C37" s="21" t="s">
        <v>131</v>
      </c>
      <c r="D37" s="21" t="str">
        <f>Input_Fields!D58</f>
        <v>[enter]</v>
      </c>
      <c r="E37" s="18" t="s">
        <v>195</v>
      </c>
      <c r="F37" s="21"/>
      <c r="G37" s="18"/>
      <c r="H37" s="11" t="s">
        <v>278</v>
      </c>
      <c r="I37" s="11" t="s">
        <v>279</v>
      </c>
      <c r="J37" s="11" t="s">
        <v>22</v>
      </c>
      <c r="K37" s="27"/>
    </row>
    <row r="38" spans="1:11" ht="15" customHeight="1" x14ac:dyDescent="0.3">
      <c r="A38" s="7"/>
      <c r="B38" s="7" t="s">
        <v>205</v>
      </c>
      <c r="C38" s="14" t="s">
        <v>131</v>
      </c>
      <c r="D38" s="14" t="str">
        <f>Input_Fields!D59</f>
        <v>[enter]</v>
      </c>
      <c r="E38" s="15" t="s">
        <v>195</v>
      </c>
      <c r="F38" s="14"/>
      <c r="G38" s="15"/>
      <c r="H38" s="7" t="s">
        <v>276</v>
      </c>
      <c r="I38" s="7" t="s">
        <v>280</v>
      </c>
      <c r="J38" s="7" t="s">
        <v>22</v>
      </c>
      <c r="K38" s="24"/>
    </row>
    <row r="39" spans="1:11" ht="15" customHeight="1" x14ac:dyDescent="0.3">
      <c r="A39" s="11"/>
      <c r="B39" s="11" t="s">
        <v>207</v>
      </c>
      <c r="C39" s="21" t="s">
        <v>131</v>
      </c>
      <c r="D39" s="21" t="str">
        <f>Input_Fields!D60</f>
        <v>[enter]</v>
      </c>
      <c r="E39" s="18" t="s">
        <v>195</v>
      </c>
      <c r="F39" s="21"/>
      <c r="G39" s="18"/>
      <c r="H39" s="11" t="s">
        <v>272</v>
      </c>
      <c r="I39" s="11"/>
      <c r="J39" s="11" t="s">
        <v>22</v>
      </c>
      <c r="K39" s="27"/>
    </row>
    <row r="41" spans="1:11" ht="15.75" customHeight="1" x14ac:dyDescent="0.3">
      <c r="A41" s="1" t="s">
        <v>281</v>
      </c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 customHeight="1" x14ac:dyDescent="0.3">
      <c r="A42" s="7"/>
      <c r="B42" s="7" t="s">
        <v>209</v>
      </c>
      <c r="C42" s="14" t="s">
        <v>131</v>
      </c>
      <c r="D42" s="14" t="str">
        <f>Input_Fields!D63</f>
        <v>[enter]</v>
      </c>
      <c r="E42" s="15" t="s">
        <v>195</v>
      </c>
      <c r="F42" s="14"/>
      <c r="G42" s="15"/>
      <c r="H42" s="7" t="s">
        <v>274</v>
      </c>
      <c r="I42" s="7" t="s">
        <v>282</v>
      </c>
      <c r="J42" s="7" t="s">
        <v>22</v>
      </c>
      <c r="K42" s="24"/>
    </row>
    <row r="43" spans="1:11" ht="15" customHeight="1" x14ac:dyDescent="0.3">
      <c r="A43" s="11"/>
      <c r="B43" s="11" t="s">
        <v>211</v>
      </c>
      <c r="C43" s="21" t="s">
        <v>131</v>
      </c>
      <c r="D43" s="21" t="str">
        <f>Input_Fields!D64</f>
        <v>[enter]</v>
      </c>
      <c r="E43" s="18" t="s">
        <v>195</v>
      </c>
      <c r="F43" s="21"/>
      <c r="G43" s="18"/>
      <c r="H43" s="11" t="s">
        <v>283</v>
      </c>
      <c r="I43" s="11"/>
      <c r="J43" s="11" t="s">
        <v>22</v>
      </c>
      <c r="K43" s="27"/>
    </row>
    <row r="44" spans="1:11" ht="15" customHeight="1" x14ac:dyDescent="0.3">
      <c r="A44" s="7"/>
      <c r="B44" s="7" t="s">
        <v>212</v>
      </c>
      <c r="C44" s="14" t="s">
        <v>131</v>
      </c>
      <c r="D44" s="14" t="str">
        <f>Input_Fields!D65</f>
        <v>[enter]</v>
      </c>
      <c r="E44" s="15" t="s">
        <v>195</v>
      </c>
      <c r="F44" s="14"/>
      <c r="G44" s="15"/>
      <c r="H44" s="7" t="s">
        <v>274</v>
      </c>
      <c r="I44" s="7"/>
      <c r="J44" s="7" t="s">
        <v>22</v>
      </c>
      <c r="K44" s="24"/>
    </row>
    <row r="45" spans="1:11" ht="15" customHeight="1" x14ac:dyDescent="0.3">
      <c r="A45" s="11"/>
      <c r="B45" s="11" t="s">
        <v>213</v>
      </c>
      <c r="C45" s="21" t="s">
        <v>131</v>
      </c>
      <c r="D45" s="21" t="str">
        <f>Input_Fields!D66</f>
        <v>[enter]</v>
      </c>
      <c r="E45" s="18" t="s">
        <v>195</v>
      </c>
      <c r="F45" s="21"/>
      <c r="G45" s="18"/>
      <c r="H45" s="11" t="s">
        <v>276</v>
      </c>
      <c r="I45" s="11" t="s">
        <v>284</v>
      </c>
      <c r="J45" s="11" t="s">
        <v>22</v>
      </c>
      <c r="K45" s="27"/>
    </row>
    <row r="47" spans="1:11" ht="15.75" customHeight="1" x14ac:dyDescent="0.3">
      <c r="A47" s="1" t="s">
        <v>285</v>
      </c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 customHeight="1" x14ac:dyDescent="0.3">
      <c r="A48" s="7"/>
      <c r="B48" s="7" t="s">
        <v>215</v>
      </c>
      <c r="C48" s="14" t="s">
        <v>131</v>
      </c>
      <c r="D48" s="14" t="str">
        <f>Input_Fields!D69</f>
        <v>[enter]</v>
      </c>
      <c r="E48" s="15" t="s">
        <v>216</v>
      </c>
      <c r="F48" s="14"/>
      <c r="G48" s="15"/>
      <c r="H48" s="7" t="s">
        <v>286</v>
      </c>
      <c r="I48" s="7" t="s">
        <v>217</v>
      </c>
      <c r="J48" s="7" t="s">
        <v>22</v>
      </c>
      <c r="K48" s="24"/>
    </row>
    <row r="49" spans="1:11" ht="15" customHeight="1" x14ac:dyDescent="0.3">
      <c r="A49" s="11"/>
      <c r="B49" s="11" t="s">
        <v>218</v>
      </c>
      <c r="C49" s="21" t="s">
        <v>131</v>
      </c>
      <c r="D49" s="21" t="str">
        <f>Input_Fields!D70</f>
        <v>[enter]</v>
      </c>
      <c r="E49" s="18" t="s">
        <v>216</v>
      </c>
      <c r="F49" s="21"/>
      <c r="G49" s="18"/>
      <c r="H49" s="11" t="s">
        <v>286</v>
      </c>
      <c r="I49" s="11" t="s">
        <v>217</v>
      </c>
      <c r="J49" s="11" t="s">
        <v>22</v>
      </c>
      <c r="K49" s="27"/>
    </row>
    <row r="50" spans="1:11" ht="15" customHeight="1" x14ac:dyDescent="0.3">
      <c r="A50" s="7"/>
      <c r="B50" s="7" t="s">
        <v>219</v>
      </c>
      <c r="C50" s="14" t="s">
        <v>131</v>
      </c>
      <c r="D50" s="14" t="str">
        <f>Input_Fields!D71</f>
        <v>[enter]</v>
      </c>
      <c r="E50" s="15" t="s">
        <v>216</v>
      </c>
      <c r="F50" s="14"/>
      <c r="G50" s="15"/>
      <c r="H50" s="7" t="s">
        <v>286</v>
      </c>
      <c r="I50" s="7" t="s">
        <v>217</v>
      </c>
      <c r="J50" s="7" t="s">
        <v>22</v>
      </c>
      <c r="K50" s="24"/>
    </row>
    <row r="51" spans="1:11" ht="15" customHeight="1" x14ac:dyDescent="0.3">
      <c r="A51" s="11"/>
      <c r="B51" s="11" t="s">
        <v>221</v>
      </c>
      <c r="C51" s="21" t="s">
        <v>131</v>
      </c>
      <c r="D51" s="21" t="str">
        <f>Input_Fields!D72</f>
        <v>[enter]</v>
      </c>
      <c r="E51" s="18" t="s">
        <v>216</v>
      </c>
      <c r="F51" s="21"/>
      <c r="G51" s="18"/>
      <c r="H51" s="11" t="s">
        <v>287</v>
      </c>
      <c r="I51" s="11" t="s">
        <v>217</v>
      </c>
      <c r="J51" s="11" t="s">
        <v>22</v>
      </c>
      <c r="K51" s="27"/>
    </row>
    <row r="53" spans="1:11" ht="15.75" customHeight="1" x14ac:dyDescent="0.3">
      <c r="A53" s="1" t="s">
        <v>288</v>
      </c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 customHeight="1" x14ac:dyDescent="0.3">
      <c r="A54" s="7"/>
      <c r="B54" s="7" t="s">
        <v>289</v>
      </c>
      <c r="C54" s="14" t="s">
        <v>131</v>
      </c>
      <c r="D54" s="14" t="s">
        <v>178</v>
      </c>
      <c r="E54" s="15" t="s">
        <v>100</v>
      </c>
      <c r="F54" s="14"/>
      <c r="G54" s="15"/>
      <c r="H54" s="7" t="s">
        <v>131</v>
      </c>
      <c r="I54" s="7" t="s">
        <v>290</v>
      </c>
      <c r="J54" s="7" t="s">
        <v>22</v>
      </c>
      <c r="K54" s="24"/>
    </row>
    <row r="55" spans="1:11" ht="15" customHeight="1" x14ac:dyDescent="0.3">
      <c r="A55" s="11"/>
      <c r="B55" s="11" t="s">
        <v>291</v>
      </c>
      <c r="C55" s="21" t="s">
        <v>131</v>
      </c>
      <c r="D55" s="21" t="s">
        <v>178</v>
      </c>
      <c r="E55" s="18" t="s">
        <v>100</v>
      </c>
      <c r="F55" s="21"/>
      <c r="G55" s="18"/>
      <c r="H55" s="11" t="s">
        <v>131</v>
      </c>
      <c r="I55" s="11" t="s">
        <v>290</v>
      </c>
      <c r="J55" s="11" t="s">
        <v>22</v>
      </c>
      <c r="K55" s="27"/>
    </row>
    <row r="56" spans="1:11" ht="15" customHeight="1" x14ac:dyDescent="0.3">
      <c r="A56" s="7"/>
      <c r="B56" s="7" t="s">
        <v>292</v>
      </c>
      <c r="C56" s="14" t="s">
        <v>131</v>
      </c>
      <c r="D56" s="14" t="s">
        <v>178</v>
      </c>
      <c r="E56" s="15" t="s">
        <v>89</v>
      </c>
      <c r="F56" s="14"/>
      <c r="G56" s="15"/>
      <c r="H56" s="7" t="s">
        <v>293</v>
      </c>
      <c r="I56" s="7" t="s">
        <v>294</v>
      </c>
      <c r="J56" s="7" t="s">
        <v>157</v>
      </c>
      <c r="K56" s="24"/>
    </row>
    <row r="57" spans="1:11" ht="15" customHeight="1" x14ac:dyDescent="0.3">
      <c r="A57" s="11"/>
      <c r="B57" s="11" t="s">
        <v>295</v>
      </c>
      <c r="C57" s="21" t="s">
        <v>131</v>
      </c>
      <c r="D57" s="21" t="s">
        <v>178</v>
      </c>
      <c r="E57" s="18" t="s">
        <v>103</v>
      </c>
      <c r="F57" s="21"/>
      <c r="G57" s="18"/>
      <c r="H57" s="11" t="s">
        <v>296</v>
      </c>
      <c r="I57" s="11" t="s">
        <v>297</v>
      </c>
      <c r="J57" s="11" t="s">
        <v>22</v>
      </c>
      <c r="K57" s="27"/>
    </row>
    <row r="59" spans="1:11" ht="15.75" customHeight="1" x14ac:dyDescent="0.3">
      <c r="A59" s="1" t="s">
        <v>298</v>
      </c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 customHeight="1" x14ac:dyDescent="0.3">
      <c r="A60" s="7"/>
      <c r="B60" s="7" t="s">
        <v>299</v>
      </c>
      <c r="C60" s="14" t="s">
        <v>131</v>
      </c>
      <c r="D60" s="14" t="s">
        <v>178</v>
      </c>
      <c r="E60" s="15" t="s">
        <v>103</v>
      </c>
      <c r="F60" s="14"/>
      <c r="G60" s="15"/>
      <c r="H60" s="7" t="s">
        <v>300</v>
      </c>
      <c r="I60" s="7" t="s">
        <v>301</v>
      </c>
      <c r="J60" s="7" t="s">
        <v>22</v>
      </c>
      <c r="K60" s="24" t="s">
        <v>302</v>
      </c>
    </row>
    <row r="61" spans="1:11" ht="15" customHeight="1" x14ac:dyDescent="0.3">
      <c r="A61" s="11"/>
      <c r="B61" s="11" t="s">
        <v>303</v>
      </c>
      <c r="C61" s="21" t="s">
        <v>131</v>
      </c>
      <c r="D61" s="21" t="s">
        <v>178</v>
      </c>
      <c r="E61" s="18" t="s">
        <v>103</v>
      </c>
      <c r="F61" s="21"/>
      <c r="G61" s="18"/>
      <c r="H61" s="11" t="s">
        <v>304</v>
      </c>
      <c r="I61" s="11" t="s">
        <v>305</v>
      </c>
      <c r="J61" s="11" t="s">
        <v>22</v>
      </c>
      <c r="K61" s="27" t="s">
        <v>306</v>
      </c>
    </row>
  </sheetData>
  <mergeCells count="11">
    <mergeCell ref="A59:K59"/>
    <mergeCell ref="A25:K25"/>
    <mergeCell ref="A31:K31"/>
    <mergeCell ref="A41:K41"/>
    <mergeCell ref="A47:K47"/>
    <mergeCell ref="A53:K53"/>
    <mergeCell ref="A1:K1"/>
    <mergeCell ref="A2:K2"/>
    <mergeCell ref="A4:K4"/>
    <mergeCell ref="A13:K13"/>
    <mergeCell ref="A18:K18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3"/>
  <sheetViews>
    <sheetView showGridLines="0" zoomScaleNormal="100" workbookViewId="0"/>
  </sheetViews>
  <sheetFormatPr defaultColWidth="8.6640625" defaultRowHeight="14.4" x14ac:dyDescent="0.3"/>
  <cols>
    <col min="1" max="1" width="2" customWidth="1"/>
    <col min="2" max="2" width="36" customWidth="1"/>
    <col min="3" max="4" width="14" customWidth="1"/>
    <col min="5" max="6" width="12" customWidth="1"/>
    <col min="7" max="7" width="50" customWidth="1"/>
  </cols>
  <sheetData>
    <row r="1" spans="1:7" ht="25.5" customHeight="1" x14ac:dyDescent="0.3">
      <c r="A1" s="3" t="s">
        <v>307</v>
      </c>
      <c r="B1" s="3"/>
      <c r="C1" s="3"/>
      <c r="D1" s="3"/>
      <c r="E1" s="3"/>
      <c r="F1" s="3"/>
      <c r="G1" s="3"/>
    </row>
    <row r="2" spans="1:7" ht="13.5" customHeight="1" x14ac:dyDescent="0.3">
      <c r="A2" s="2" t="s">
        <v>308</v>
      </c>
      <c r="B2" s="2"/>
      <c r="C2" s="2"/>
      <c r="D2" s="2"/>
      <c r="E2" s="2"/>
      <c r="F2" s="2"/>
      <c r="G2" s="2"/>
    </row>
    <row r="3" spans="1:7" ht="18" customHeight="1" x14ac:dyDescent="0.3">
      <c r="A3" s="6"/>
      <c r="B3" s="6" t="s">
        <v>60</v>
      </c>
      <c r="C3" s="6" t="s">
        <v>125</v>
      </c>
      <c r="D3" s="6" t="s">
        <v>126</v>
      </c>
      <c r="E3" s="6" t="s">
        <v>227</v>
      </c>
      <c r="F3" s="6" t="s">
        <v>309</v>
      </c>
      <c r="G3" s="6" t="s">
        <v>310</v>
      </c>
    </row>
    <row r="4" spans="1:7" ht="15.75" customHeight="1" x14ac:dyDescent="0.3">
      <c r="A4" s="1" t="s">
        <v>311</v>
      </c>
      <c r="B4" s="1"/>
      <c r="C4" s="1"/>
      <c r="D4" s="1"/>
      <c r="E4" s="1"/>
      <c r="F4" s="1"/>
      <c r="G4" s="1"/>
    </row>
    <row r="5" spans="1:7" ht="15" customHeight="1" x14ac:dyDescent="0.3">
      <c r="A5" s="7"/>
      <c r="B5" s="7" t="s">
        <v>312</v>
      </c>
      <c r="C5" s="14" t="s">
        <v>131</v>
      </c>
      <c r="D5" s="14" t="str">
        <f>Metric_Calcs!D8</f>
        <v>—</v>
      </c>
      <c r="E5" s="15" t="s">
        <v>238</v>
      </c>
      <c r="F5" s="28" t="s">
        <v>313</v>
      </c>
      <c r="G5" s="29" t="s">
        <v>314</v>
      </c>
    </row>
    <row r="6" spans="1:7" ht="15" customHeight="1" x14ac:dyDescent="0.3">
      <c r="A6" s="11"/>
      <c r="B6" s="11" t="s">
        <v>315</v>
      </c>
      <c r="C6" s="21">
        <f>Metric_Calcs!C7</f>
        <v>0</v>
      </c>
      <c r="D6" s="21">
        <f>Metric_Calcs!D7</f>
        <v>0</v>
      </c>
      <c r="E6" s="18" t="s">
        <v>316</v>
      </c>
      <c r="F6" s="30" t="s">
        <v>313</v>
      </c>
      <c r="G6" s="31" t="s">
        <v>314</v>
      </c>
    </row>
    <row r="7" spans="1:7" ht="15" customHeight="1" x14ac:dyDescent="0.3">
      <c r="A7" s="7"/>
      <c r="B7" s="7" t="s">
        <v>317</v>
      </c>
      <c r="C7" s="14">
        <f>Metric_Calcs!C9</f>
        <v>0</v>
      </c>
      <c r="D7" s="14">
        <f>Metric_Calcs!D9</f>
        <v>0</v>
      </c>
      <c r="E7" s="15"/>
      <c r="F7" s="28" t="s">
        <v>313</v>
      </c>
      <c r="G7" s="29" t="s">
        <v>314</v>
      </c>
    </row>
    <row r="8" spans="1:7" ht="15.75" customHeight="1" x14ac:dyDescent="0.3">
      <c r="A8" s="1" t="s">
        <v>318</v>
      </c>
      <c r="B8" s="1"/>
      <c r="C8" s="1"/>
      <c r="D8" s="1"/>
      <c r="E8" s="1"/>
      <c r="F8" s="1"/>
      <c r="G8" s="1"/>
    </row>
    <row r="9" spans="1:7" ht="15" customHeight="1" x14ac:dyDescent="0.3">
      <c r="A9" s="7"/>
      <c r="B9" s="7" t="s">
        <v>319</v>
      </c>
      <c r="C9" s="14" t="str">
        <f>Metric_Calcs!C14</f>
        <v/>
      </c>
      <c r="D9" s="14" t="str">
        <f>Metric_Calcs!D14</f>
        <v/>
      </c>
      <c r="E9" s="15" t="s">
        <v>320</v>
      </c>
      <c r="F9" s="28" t="s">
        <v>313</v>
      </c>
      <c r="G9" s="29" t="s">
        <v>314</v>
      </c>
    </row>
    <row r="10" spans="1:7" ht="15" customHeight="1" x14ac:dyDescent="0.3">
      <c r="A10" s="11"/>
      <c r="B10" s="11" t="s">
        <v>321</v>
      </c>
      <c r="C10" s="21" t="str">
        <f>Metric_Calcs!C15</f>
        <v/>
      </c>
      <c r="D10" s="21" t="str">
        <f>Metric_Calcs!D15</f>
        <v/>
      </c>
      <c r="E10" s="18" t="s">
        <v>322</v>
      </c>
      <c r="F10" s="30" t="s">
        <v>313</v>
      </c>
      <c r="G10" s="31" t="s">
        <v>314</v>
      </c>
    </row>
    <row r="11" spans="1:7" ht="15" customHeight="1" x14ac:dyDescent="0.3">
      <c r="A11" s="7"/>
      <c r="B11" s="7" t="s">
        <v>323</v>
      </c>
      <c r="C11" s="14" t="str">
        <f>Metric_Calcs!C16</f>
        <v/>
      </c>
      <c r="D11" s="14" t="str">
        <f>Metric_Calcs!D16</f>
        <v/>
      </c>
      <c r="E11" s="15" t="s">
        <v>324</v>
      </c>
      <c r="F11" s="28" t="s">
        <v>313</v>
      </c>
      <c r="G11" s="29" t="s">
        <v>314</v>
      </c>
    </row>
    <row r="12" spans="1:7" ht="15.75" customHeight="1" x14ac:dyDescent="0.3">
      <c r="A12" s="1" t="s">
        <v>325</v>
      </c>
      <c r="B12" s="1"/>
      <c r="C12" s="1"/>
      <c r="D12" s="1"/>
      <c r="E12" s="1"/>
      <c r="F12" s="1"/>
      <c r="G12" s="1"/>
    </row>
    <row r="13" spans="1:7" ht="15" customHeight="1" x14ac:dyDescent="0.3">
      <c r="A13" s="7"/>
      <c r="B13" s="7" t="s">
        <v>109</v>
      </c>
      <c r="C13" s="14" t="str">
        <f>Metric_Calcs!C19</f>
        <v/>
      </c>
      <c r="D13" s="14" t="str">
        <f>Metric_Calcs!D19</f>
        <v/>
      </c>
      <c r="E13" s="15" t="s">
        <v>326</v>
      </c>
      <c r="F13" s="28" t="s">
        <v>313</v>
      </c>
      <c r="G13" s="29" t="s">
        <v>314</v>
      </c>
    </row>
    <row r="14" spans="1:7" ht="15" customHeight="1" x14ac:dyDescent="0.3">
      <c r="A14" s="11"/>
      <c r="B14" s="11" t="s">
        <v>327</v>
      </c>
      <c r="C14" s="21" t="str">
        <f>Metric_Calcs!C20</f>
        <v/>
      </c>
      <c r="D14" s="21" t="str">
        <f>Metric_Calcs!D20</f>
        <v/>
      </c>
      <c r="E14" s="18"/>
      <c r="F14" s="30" t="s">
        <v>313</v>
      </c>
      <c r="G14" s="31" t="s">
        <v>314</v>
      </c>
    </row>
    <row r="15" spans="1:7" ht="15" customHeight="1" x14ac:dyDescent="0.3">
      <c r="A15" s="7"/>
      <c r="B15" s="7" t="s">
        <v>328</v>
      </c>
      <c r="C15" s="14" t="str">
        <f>Metric_Calcs!C22</f>
        <v/>
      </c>
      <c r="D15" s="14" t="str">
        <f>Metric_Calcs!D22</f>
        <v/>
      </c>
      <c r="E15" s="15" t="s">
        <v>329</v>
      </c>
      <c r="F15" s="28" t="s">
        <v>313</v>
      </c>
      <c r="G15" s="29" t="s">
        <v>314</v>
      </c>
    </row>
    <row r="16" spans="1:7" ht="15" customHeight="1" x14ac:dyDescent="0.3">
      <c r="A16" s="11"/>
      <c r="B16" s="11" t="s">
        <v>330</v>
      </c>
      <c r="C16" s="21" t="s">
        <v>131</v>
      </c>
      <c r="D16" s="21" t="str">
        <f>Metric_Calcs!D23</f>
        <v>—</v>
      </c>
      <c r="E16" s="18" t="s">
        <v>331</v>
      </c>
      <c r="F16" s="30" t="s">
        <v>313</v>
      </c>
      <c r="G16" s="31" t="s">
        <v>314</v>
      </c>
    </row>
    <row r="17" spans="1:7" ht="15.75" customHeight="1" x14ac:dyDescent="0.3">
      <c r="A17" s="1" t="s">
        <v>332</v>
      </c>
      <c r="B17" s="1"/>
      <c r="C17" s="1"/>
      <c r="D17" s="1"/>
      <c r="E17" s="1"/>
      <c r="F17" s="1"/>
      <c r="G17" s="1"/>
    </row>
    <row r="18" spans="1:7" ht="15" customHeight="1" x14ac:dyDescent="0.3">
      <c r="A18" s="7"/>
      <c r="B18" s="7" t="s">
        <v>333</v>
      </c>
      <c r="C18" s="14" t="s">
        <v>131</v>
      </c>
      <c r="D18" s="14" t="str">
        <f>Metric_Calcs!D26</f>
        <v>[enter]</v>
      </c>
      <c r="E18" s="15"/>
      <c r="F18" s="28" t="s">
        <v>313</v>
      </c>
      <c r="G18" s="29" t="s">
        <v>314</v>
      </c>
    </row>
    <row r="19" spans="1:7" ht="15" customHeight="1" x14ac:dyDescent="0.3">
      <c r="A19" s="11"/>
      <c r="B19" s="11" t="s">
        <v>334</v>
      </c>
      <c r="C19" s="21" t="s">
        <v>131</v>
      </c>
      <c r="D19" s="21" t="str">
        <f>Metric_Calcs!D27</f>
        <v>[enter]</v>
      </c>
      <c r="E19" s="18" t="s">
        <v>335</v>
      </c>
      <c r="F19" s="30" t="s">
        <v>313</v>
      </c>
      <c r="G19" s="31" t="s">
        <v>314</v>
      </c>
    </row>
    <row r="20" spans="1:7" ht="15" customHeight="1" x14ac:dyDescent="0.3">
      <c r="A20" s="7"/>
      <c r="B20" s="7" t="s">
        <v>336</v>
      </c>
      <c r="C20" s="14" t="s">
        <v>131</v>
      </c>
      <c r="D20" s="14" t="str">
        <f>Metric_Calcs!D32</f>
        <v>[enter]</v>
      </c>
      <c r="E20" s="15" t="s">
        <v>276</v>
      </c>
      <c r="F20" s="28" t="s">
        <v>313</v>
      </c>
      <c r="G20" s="29" t="s">
        <v>314</v>
      </c>
    </row>
    <row r="21" spans="1:7" ht="15" customHeight="1" x14ac:dyDescent="0.3">
      <c r="A21" s="11"/>
      <c r="B21" s="11" t="s">
        <v>337</v>
      </c>
      <c r="C21" s="21" t="s">
        <v>131</v>
      </c>
      <c r="D21" s="21" t="str">
        <f>Metric_Calcs!D35</f>
        <v>[enter]</v>
      </c>
      <c r="E21" s="18" t="s">
        <v>276</v>
      </c>
      <c r="F21" s="30" t="s">
        <v>313</v>
      </c>
      <c r="G21" s="31" t="s">
        <v>314</v>
      </c>
    </row>
    <row r="22" spans="1:7" ht="15" customHeight="1" x14ac:dyDescent="0.3">
      <c r="A22" s="7"/>
      <c r="B22" s="7" t="s">
        <v>338</v>
      </c>
      <c r="C22" s="14" t="s">
        <v>131</v>
      </c>
      <c r="D22" s="14" t="str">
        <f>Metric_Calcs!D37</f>
        <v>[enter]</v>
      </c>
      <c r="E22" s="15" t="s">
        <v>278</v>
      </c>
      <c r="F22" s="28" t="s">
        <v>313</v>
      </c>
      <c r="G22" s="29" t="s">
        <v>314</v>
      </c>
    </row>
    <row r="23" spans="1:7" ht="15" customHeight="1" x14ac:dyDescent="0.3">
      <c r="A23" s="11"/>
      <c r="B23" s="11" t="s">
        <v>339</v>
      </c>
      <c r="C23" s="21" t="s">
        <v>131</v>
      </c>
      <c r="D23" s="21" t="str">
        <f>Metric_Calcs!D45</f>
        <v>[enter]</v>
      </c>
      <c r="E23" s="18" t="s">
        <v>276</v>
      </c>
      <c r="F23" s="30" t="s">
        <v>313</v>
      </c>
      <c r="G23" s="31" t="s">
        <v>314</v>
      </c>
    </row>
  </sheetData>
  <mergeCells count="6">
    <mergeCell ref="A17:G17"/>
    <mergeCell ref="A1:G1"/>
    <mergeCell ref="A2:G2"/>
    <mergeCell ref="A4:G4"/>
    <mergeCell ref="A8:G8"/>
    <mergeCell ref="A12:G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Raw_Monthly_Data</vt:lpstr>
      <vt:lpstr>Input_Fields</vt:lpstr>
      <vt:lpstr>Metric_Calcs</vt:lpstr>
      <vt:lpstr>Diagnostic_Output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Ian Lawrence</cp:lastModifiedBy>
  <cp:revision>0</cp:revision>
  <dcterms:created xsi:type="dcterms:W3CDTF">2026-04-29T21:21:19Z</dcterms:created>
  <dcterms:modified xsi:type="dcterms:W3CDTF">2026-04-29T21:22:21Z</dcterms:modified>
  <dc:language>en-US</dc:language>
</cp:coreProperties>
</file>