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anLawrence\github\Claude-skills\docs\Archive\"/>
    </mc:Choice>
  </mc:AlternateContent>
  <xr:revisionPtr revIDLastSave="0" documentId="8_{3E2AD7F6-9799-4E2C-95E7-716315313D85}" xr6:coauthVersionLast="47" xr6:coauthVersionMax="47" xr10:uidLastSave="{00000000-0000-0000-0000-000000000000}"/>
  <bookViews>
    <workbookView xWindow="-19284" yWindow="-6828" windowWidth="19380" windowHeight="15576" firstSheet="2" activeTab="4" xr2:uid="{00000000-000D-0000-FFFF-FFFF00000000}"/>
  </bookViews>
  <sheets>
    <sheet name="COVER" sheetId="1" r:id="rId1"/>
    <sheet name="INPUTS" sheetId="2" r:id="rId2"/>
    <sheet name="FINANCIALS" sheetId="3" r:id="rId3"/>
    <sheet name="FINANCIAL MODEL" sheetId="4" r:id="rId4"/>
    <sheet name="KPI TREE" sheetId="5" r:id="rId5"/>
    <sheet name="DRIVER TREE" sheetId="6" r:id="rId6"/>
    <sheet name="MOIC BRIDGE" sheetId="7" r:id="rId7"/>
    <sheet name="NTB REGISTRY" sheetId="8" r:id="rId8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7" l="1"/>
  <c r="C10" i="7"/>
  <c r="J32" i="6"/>
  <c r="L32" i="6" s="1"/>
  <c r="J31" i="6"/>
  <c r="L31" i="6" s="1"/>
  <c r="K30" i="6"/>
  <c r="K23" i="6"/>
  <c r="H23" i="6"/>
  <c r="G23" i="6"/>
  <c r="F23" i="6"/>
  <c r="K22" i="6"/>
  <c r="H22" i="6"/>
  <c r="G22" i="6"/>
  <c r="F22" i="6"/>
  <c r="K17" i="6"/>
  <c r="K16" i="6"/>
  <c r="K15" i="6"/>
  <c r="F15" i="6"/>
  <c r="K13" i="6"/>
  <c r="K12" i="6"/>
  <c r="F12" i="6"/>
  <c r="K11" i="6"/>
  <c r="F11" i="6"/>
  <c r="K10" i="6"/>
  <c r="F10" i="6"/>
  <c r="K9" i="6"/>
  <c r="F9" i="6"/>
  <c r="I26" i="5"/>
  <c r="H26" i="5"/>
  <c r="K26" i="5" s="1"/>
  <c r="G25" i="5"/>
  <c r="G24" i="5"/>
  <c r="I21" i="5"/>
  <c r="H21" i="5"/>
  <c r="G21" i="5"/>
  <c r="I20" i="5"/>
  <c r="H20" i="5"/>
  <c r="G20" i="5"/>
  <c r="I17" i="5"/>
  <c r="H17" i="5"/>
  <c r="K17" i="5" s="1"/>
  <c r="I16" i="5"/>
  <c r="H16" i="5"/>
  <c r="K16" i="5" s="1"/>
  <c r="G15" i="5"/>
  <c r="K14" i="5"/>
  <c r="J14" i="5"/>
  <c r="K13" i="5"/>
  <c r="J13" i="5"/>
  <c r="H12" i="5"/>
  <c r="G12" i="5"/>
  <c r="K12" i="5" s="1"/>
  <c r="I11" i="5"/>
  <c r="H11" i="5"/>
  <c r="G11" i="5"/>
  <c r="K11" i="5" s="1"/>
  <c r="G10" i="5"/>
  <c r="G9" i="5"/>
  <c r="G8" i="5"/>
  <c r="I7" i="5"/>
  <c r="H7" i="5"/>
  <c r="G7" i="5"/>
  <c r="K35" i="4"/>
  <c r="G17" i="4"/>
  <c r="G27" i="4" s="1"/>
  <c r="C72" i="2"/>
  <c r="C62" i="2"/>
  <c r="C57" i="2"/>
  <c r="H18" i="6" s="1"/>
  <c r="C56" i="2"/>
  <c r="G7" i="6" s="1"/>
  <c r="C55" i="2"/>
  <c r="C54" i="2"/>
  <c r="C53" i="2"/>
  <c r="H15" i="6" s="1"/>
  <c r="C52" i="2"/>
  <c r="G15" i="6" s="1"/>
  <c r="C51" i="2"/>
  <c r="H17" i="6" s="1"/>
  <c r="C50" i="2"/>
  <c r="G17" i="6" s="1"/>
  <c r="C49" i="2"/>
  <c r="H12" i="6" s="1"/>
  <c r="C48" i="2"/>
  <c r="G12" i="6" s="1"/>
  <c r="C35" i="2"/>
  <c r="C28" i="2"/>
  <c r="C30" i="2" s="1"/>
  <c r="C19" i="2"/>
  <c r="C21" i="2" s="1"/>
  <c r="E7" i="7" s="1"/>
  <c r="I10" i="5" l="1"/>
  <c r="G9" i="6"/>
  <c r="G10" i="6"/>
  <c r="G5" i="5"/>
  <c r="G13" i="6"/>
  <c r="C58" i="2"/>
  <c r="G26" i="6" s="1"/>
  <c r="J17" i="5"/>
  <c r="K20" i="5"/>
  <c r="H11" i="6"/>
  <c r="J12" i="5"/>
  <c r="K21" i="5"/>
  <c r="G18" i="4"/>
  <c r="H13" i="6"/>
  <c r="I13" i="6" s="1"/>
  <c r="K7" i="5"/>
  <c r="C14" i="7"/>
  <c r="N31" i="6"/>
  <c r="D14" i="7" s="1"/>
  <c r="C36" i="2"/>
  <c r="C34" i="2"/>
  <c r="L34" i="6" s="1"/>
  <c r="I17" i="6"/>
  <c r="I22" i="6"/>
  <c r="J7" i="5"/>
  <c r="I23" i="6"/>
  <c r="H7" i="6"/>
  <c r="I7" i="6" s="1"/>
  <c r="G19" i="4"/>
  <c r="G20" i="4" s="1"/>
  <c r="G21" i="4"/>
  <c r="G22" i="4"/>
  <c r="J21" i="5"/>
  <c r="G11" i="6"/>
  <c r="J15" i="6"/>
  <c r="L15" i="6" s="1"/>
  <c r="M15" i="6" s="1"/>
  <c r="I15" i="6"/>
  <c r="C15" i="7"/>
  <c r="N32" i="6"/>
  <c r="D15" i="7" s="1"/>
  <c r="I12" i="6"/>
  <c r="J12" i="6" s="1"/>
  <c r="L12" i="6" s="1"/>
  <c r="M12" i="6" s="1"/>
  <c r="N12" i="6" s="1"/>
  <c r="H10" i="5"/>
  <c r="J10" i="5" s="1"/>
  <c r="H9" i="6"/>
  <c r="I9" i="6" s="1"/>
  <c r="J9" i="6" s="1"/>
  <c r="G18" i="6"/>
  <c r="I18" i="6" s="1"/>
  <c r="C16" i="7"/>
  <c r="D16" i="7"/>
  <c r="C60" i="2"/>
  <c r="E16" i="7"/>
  <c r="G23" i="4"/>
  <c r="H8" i="5"/>
  <c r="K8" i="5" s="1"/>
  <c r="J20" i="5"/>
  <c r="G36" i="4"/>
  <c r="J11" i="5"/>
  <c r="H17" i="4"/>
  <c r="J16" i="5"/>
  <c r="J26" i="5"/>
  <c r="H10" i="6"/>
  <c r="E11" i="8"/>
  <c r="F11" i="8" s="1"/>
  <c r="C7" i="7"/>
  <c r="I10" i="6" l="1"/>
  <c r="J10" i="6" s="1"/>
  <c r="L10" i="6" s="1"/>
  <c r="M10" i="6" s="1"/>
  <c r="N10" i="6" s="1"/>
  <c r="K10" i="5"/>
  <c r="I11" i="6"/>
  <c r="J11" i="6" s="1"/>
  <c r="L11" i="6" s="1"/>
  <c r="M11" i="6" s="1"/>
  <c r="N11" i="6" s="1"/>
  <c r="G24" i="4"/>
  <c r="H18" i="5" s="1"/>
  <c r="K18" i="5" s="1"/>
  <c r="H18" i="4"/>
  <c r="H21" i="4"/>
  <c r="H27" i="4"/>
  <c r="I17" i="4"/>
  <c r="H36" i="4"/>
  <c r="H23" i="4"/>
  <c r="H19" i="4"/>
  <c r="H22" i="4"/>
  <c r="J8" i="5"/>
  <c r="J18" i="5"/>
  <c r="G24" i="6"/>
  <c r="H9" i="5"/>
  <c r="G20" i="6"/>
  <c r="C86" i="2"/>
  <c r="J13" i="6"/>
  <c r="L9" i="6"/>
  <c r="M9" i="6" s="1"/>
  <c r="N9" i="6" s="1"/>
  <c r="E8" i="8"/>
  <c r="N15" i="6"/>
  <c r="G25" i="4" l="1"/>
  <c r="J22" i="6"/>
  <c r="J23" i="6"/>
  <c r="L23" i="6" s="1"/>
  <c r="M23" i="6" s="1"/>
  <c r="N23" i="6" s="1"/>
  <c r="K9" i="5"/>
  <c r="J9" i="5"/>
  <c r="L13" i="6"/>
  <c r="J17" i="6"/>
  <c r="H20" i="4"/>
  <c r="G28" i="4"/>
  <c r="G30" i="4" s="1"/>
  <c r="G38" i="4"/>
  <c r="G26" i="4"/>
  <c r="H15" i="5" s="1"/>
  <c r="G35" i="4"/>
  <c r="I21" i="4"/>
  <c r="I27" i="4"/>
  <c r="J17" i="4"/>
  <c r="I36" i="4"/>
  <c r="I23" i="4"/>
  <c r="I8" i="5"/>
  <c r="I19" i="4"/>
  <c r="I22" i="4"/>
  <c r="C59" i="2"/>
  <c r="I18" i="4"/>
  <c r="F8" i="8"/>
  <c r="D9" i="7" s="1"/>
  <c r="C9" i="7"/>
  <c r="H24" i="4"/>
  <c r="H25" i="4" s="1"/>
  <c r="I24" i="4" l="1"/>
  <c r="I18" i="5" s="1"/>
  <c r="J15" i="5"/>
  <c r="K15" i="5"/>
  <c r="J27" i="4"/>
  <c r="K17" i="4"/>
  <c r="J36" i="4"/>
  <c r="J23" i="4"/>
  <c r="J19" i="4"/>
  <c r="J22" i="4"/>
  <c r="J18" i="4"/>
  <c r="J21" i="4"/>
  <c r="H24" i="5"/>
  <c r="H25" i="5"/>
  <c r="G31" i="4"/>
  <c r="G32" i="4" s="1"/>
  <c r="L17" i="6"/>
  <c r="M17" i="6" s="1"/>
  <c r="N17" i="6" s="1"/>
  <c r="J16" i="6"/>
  <c r="L16" i="6" s="1"/>
  <c r="M16" i="6" s="1"/>
  <c r="N16" i="6" s="1"/>
  <c r="H38" i="4"/>
  <c r="H26" i="4"/>
  <c r="H35" i="4"/>
  <c r="H28" i="4"/>
  <c r="H30" i="4" s="1"/>
  <c r="H26" i="6"/>
  <c r="I26" i="6" s="1"/>
  <c r="C61" i="2"/>
  <c r="J18" i="6"/>
  <c r="M13" i="6"/>
  <c r="I12" i="5"/>
  <c r="I20" i="4"/>
  <c r="I25" i="4"/>
  <c r="L22" i="6"/>
  <c r="J24" i="6"/>
  <c r="L24" i="6" l="1"/>
  <c r="M24" i="6" s="1"/>
  <c r="N24" i="6" s="1"/>
  <c r="M22" i="6"/>
  <c r="K24" i="6"/>
  <c r="I38" i="4"/>
  <c r="I26" i="4"/>
  <c r="I15" i="5" s="1"/>
  <c r="I35" i="4"/>
  <c r="I28" i="4"/>
  <c r="I30" i="4" s="1"/>
  <c r="J25" i="5"/>
  <c r="K25" i="5"/>
  <c r="L18" i="6"/>
  <c r="J24" i="4"/>
  <c r="J25" i="4" s="1"/>
  <c r="K24" i="5"/>
  <c r="J24" i="5"/>
  <c r="J26" i="6"/>
  <c r="J20" i="4"/>
  <c r="N13" i="6"/>
  <c r="E7" i="8"/>
  <c r="H24" i="6"/>
  <c r="I24" i="6" s="1"/>
  <c r="I9" i="5"/>
  <c r="H20" i="6"/>
  <c r="I20" i="6" s="1"/>
  <c r="H31" i="4"/>
  <c r="H32" i="4" s="1"/>
  <c r="K27" i="4"/>
  <c r="K28" i="4" s="1"/>
  <c r="K30" i="4" s="1"/>
  <c r="K36" i="4"/>
  <c r="K23" i="4"/>
  <c r="K26" i="4"/>
  <c r="K19" i="4"/>
  <c r="K20" i="4" s="1"/>
  <c r="K22" i="4"/>
  <c r="K18" i="4"/>
  <c r="K21" i="4"/>
  <c r="K24" i="4" l="1"/>
  <c r="L26" i="6"/>
  <c r="J30" i="6" s="1"/>
  <c r="L30" i="6" s="1"/>
  <c r="K26" i="6"/>
  <c r="M18" i="6"/>
  <c r="K18" i="6"/>
  <c r="J26" i="4"/>
  <c r="J35" i="4"/>
  <c r="J28" i="4"/>
  <c r="J30" i="4" s="1"/>
  <c r="J38" i="4"/>
  <c r="K31" i="4"/>
  <c r="K32" i="4" s="1"/>
  <c r="I31" i="4"/>
  <c r="I32" i="4" s="1"/>
  <c r="I25" i="5"/>
  <c r="I24" i="5"/>
  <c r="C8" i="7"/>
  <c r="F7" i="8"/>
  <c r="D8" i="7" s="1"/>
  <c r="E8" i="7" s="1"/>
  <c r="E9" i="7" s="1"/>
  <c r="E10" i="7" s="1"/>
  <c r="E10" i="8"/>
  <c r="N22" i="6"/>
  <c r="J31" i="4" l="1"/>
  <c r="J32" i="4"/>
  <c r="F10" i="8"/>
  <c r="D11" i="7" s="1"/>
  <c r="E11" i="7" s="1"/>
  <c r="E12" i="7" s="1"/>
  <c r="E13" i="7" s="1"/>
  <c r="E14" i="7" s="1"/>
  <c r="E15" i="7" s="1"/>
  <c r="C11" i="7"/>
  <c r="M26" i="6"/>
  <c r="N18" i="6"/>
  <c r="N26" i="6" s="1"/>
  <c r="E12" i="8"/>
  <c r="F12" i="8" s="1"/>
  <c r="F13" i="8" s="1"/>
  <c r="L33" i="6"/>
  <c r="N33" i="6" s="1"/>
  <c r="N34" i="6" s="1"/>
  <c r="N30" i="6"/>
</calcChain>
</file>

<file path=xl/sharedStrings.xml><?xml version="1.0" encoding="utf-8"?>
<sst xmlns="http://schemas.openxmlformats.org/spreadsheetml/2006/main" count="574" uniqueCount="490">
  <si>
    <t>Shopify, Inc. (SHOP)  |  Deal Intelligence Workbook</t>
  </si>
  <si>
    <t>NYSE: SHOP  |  Public Equity Long  |  Entry: ~$108/share  |  PT: $150  |  May 2026</t>
  </si>
  <si>
    <t>Workbook Navigation</t>
  </si>
  <si>
    <t>Tab</t>
  </si>
  <si>
    <t>Purpose</t>
  </si>
  <si>
    <t>Key Inputs</t>
  </si>
  <si>
    <t>INPUTS</t>
  </si>
  <si>
    <t>Deal assumptions, entry/exit, thesis, NTB names</t>
  </si>
  <si>
    <t>Shopify entry at $108/share; 3-yr hold to FY2028</t>
  </si>
  <si>
    <t>FINANCIALS</t>
  </si>
  <si>
    <t>Historical P&amp;L — FY2022–FY2025A (adj. non-GAAP)</t>
  </si>
  <si>
    <t>Pre-populated; edit to override</t>
  </si>
  <si>
    <t>FINANCIAL MODEL</t>
  </si>
  <si>
    <t>Operating model — FY2022A + FY2026–2030E projections</t>
  </si>
  <si>
    <t>Yellow projection assumption cells</t>
  </si>
  <si>
    <t>DRIVER TREE</t>
  </si>
  <si>
    <t>Thesis decomposition — GMV, Payments, AI, Enterprise</t>
  </si>
  <si>
    <t>Base/Upside EV per driver; NTB linkage</t>
  </si>
  <si>
    <t>NTB REGISTRY</t>
  </si>
  <si>
    <t>6 Shopify NTBs — evidence, MOIC impact, gaps</t>
  </si>
  <si>
    <t>Evidence status; MOIC impact ($M)</t>
  </si>
  <si>
    <t>KPI TREE</t>
  </si>
  <si>
    <t>Shopify KPI hierarchy mapped to financial model</t>
  </si>
  <si>
    <t>Budget (consensus) vs. actual (Q1'26A)</t>
  </si>
  <si>
    <t>MOIC BRIDGE</t>
  </si>
  <si>
    <t>MOIC waterfall — entry equity to exit by NTB</t>
  </si>
  <si>
    <t>Pulls from NTB Registry &amp; INPUTS</t>
  </si>
  <si>
    <t>Investment Summary</t>
  </si>
  <si>
    <t>Metric</t>
  </si>
  <si>
    <t>Value</t>
  </si>
  <si>
    <t>Source</t>
  </si>
  <si>
    <t>Share Price (Entry)</t>
  </si>
  <si>
    <t>$108</t>
  </si>
  <si>
    <t>Post-Q1'26 earnings — May 6, 2026</t>
  </si>
  <si>
    <t>Enterprise Value</t>
  </si>
  <si>
    <t>~$135B</t>
  </si>
  <si>
    <t>Mkt cap ~$141B less net cash ~$6.3B (FY25 + Q1 FCF)</t>
  </si>
  <si>
    <t>Q1'26 Revenue</t>
  </si>
  <si>
    <t>$3,170M</t>
  </si>
  <si>
    <t>Shopify Q1'26 earnings release</t>
  </si>
  <si>
    <t>Q1'26 GMV</t>
  </si>
  <si>
    <t>$100.7B</t>
  </si>
  <si>
    <t>+35% YoY; first $100B+ quarter</t>
  </si>
  <si>
    <t>Q1'26 FCF Margin</t>
  </si>
  <si>
    <t>15.0%</t>
  </si>
  <si>
    <t>$476M FCF on $3,170M revenue</t>
  </si>
  <si>
    <t>FY2026E Revenue</t>
  </si>
  <si>
    <t>$14,818M</t>
  </si>
  <si>
    <t>Model FY2026E consensus; GS/JPM/Baird buildup</t>
  </si>
  <si>
    <t>FY2026E EBITDA Mgn</t>
  </si>
  <si>
    <t>~18.8%</t>
  </si>
  <si>
    <t>Model: ~$2,790M EBITDA on $14,818M revenue</t>
  </si>
  <si>
    <t>12-mo Price Target</t>
  </si>
  <si>
    <t>$150</t>
  </si>
  <si>
    <t>+39% upside; memo thesis</t>
  </si>
  <si>
    <t>3-yr Base MOIC</t>
  </si>
  <si>
    <t>~1.58x</t>
  </si>
  <si>
    <t>45x FY2028E EBITDA $4.7B + $12.4B net cash (model)</t>
  </si>
  <si>
    <t>Conviction Level</t>
  </si>
  <si>
    <t>HIGH</t>
  </si>
  <si>
    <t>See NTB Registry for gating items</t>
  </si>
  <si>
    <t>Color Coding</t>
  </si>
  <si>
    <t>Color</t>
  </si>
  <si>
    <t>Meaning</t>
  </si>
  <si>
    <t>Action</t>
  </si>
  <si>
    <t>BLUE text / YELLOW bg</t>
  </si>
  <si>
    <t>Hardcoded input — override for scenario analysis</t>
  </si>
  <si>
    <t>BLACK text</t>
  </si>
  <si>
    <t>Formula — do not overwrite</t>
  </si>
  <si>
    <t>GREEN text</t>
  </si>
  <si>
    <t>Cross-sheet link — do not overwrite</t>
  </si>
  <si>
    <t>Green background</t>
  </si>
  <si>
    <t>Confirmed / PASS evidence status</t>
  </si>
  <si>
    <t>Orange background</t>
  </si>
  <si>
    <t>Partial — needs more evidence</t>
  </si>
  <si>
    <t>Red background</t>
  </si>
  <si>
    <t>Gap / CRITICAL — NTB not yet supported</t>
  </si>
  <si>
    <t>Deal Inputs — Shopify, Inc. (SHOP)</t>
  </si>
  <si>
    <t>Company &amp; Deal</t>
  </si>
  <si>
    <t>Field</t>
  </si>
  <si>
    <t>Company Name</t>
  </si>
  <si>
    <t>Shopify, Inc. (SHOP)</t>
  </si>
  <si>
    <t>Deal Type</t>
  </si>
  <si>
    <t>Public Equity Long</t>
  </si>
  <si>
    <t>Sector</t>
  </si>
  <si>
    <t>Technology / eCommerce Infrastructure</t>
  </si>
  <si>
    <t>Investment Thesis (one sentence)</t>
  </si>
  <si>
    <t>Dominant commerce OS processing $100B+ qtrly GMV; Payments take-rate compounding 40%+ YoY; AI-native architecture positions SHOP as agentic-commerce infrastructure layer; post-Q1 selloff creates entry at 9.1x FY26E EV/Revenue.</t>
  </si>
  <si>
    <t>Entry Year</t>
  </si>
  <si>
    <t>Exit Year (projected)</t>
  </si>
  <si>
    <t>Entry Assumptions (at $108/share — May 2026)</t>
  </si>
  <si>
    <t>Metric ($M unless noted)</t>
  </si>
  <si>
    <t>Entry Revenue ($M)   [FY2026E, model]</t>
  </si>
  <si>
    <t>Entry EBITDA ($M)   [FY2026E, 18.8% adj.]</t>
  </si>
  <si>
    <t>Entry EBITDA Margin</t>
  </si>
  <si>
    <t>Entry EV/EBITDA Multiple  [NTM FY2026E]</t>
  </si>
  <si>
    <t>Entry EV ($M)  [=EBITDA × Multiple]</t>
  </si>
  <si>
    <t>Net Debt at Entry ($M)  [net cash: FY25 + Q1'26 FCF]</t>
  </si>
  <si>
    <t>Equity Invested ($M)  [=EV − Net Debt]</t>
  </si>
  <si>
    <t>Exit Assumptions (FY2028E Base Case)</t>
  </si>
  <si>
    <t>Exit Revenue ($M)  [FY2028E, model]</t>
  </si>
  <si>
    <t>Exit EBITDA ($M)  [FY2028E, ~21.2% margin]</t>
  </si>
  <si>
    <t>Exit EV/EBITDA Multiple</t>
  </si>
  <si>
    <t>Exit EV ($M)  [=EBITDA × Multiple]</t>
  </si>
  <si>
    <t>Net Debt at Exit ($M)  [model cash $12.4B, $0 debt]</t>
  </si>
  <si>
    <t>Proceeds to Equity ($M)  [=Exit EV − Net Debt]</t>
  </si>
  <si>
    <t>Returns Summary</t>
  </si>
  <si>
    <t>Gross MOIC</t>
  </si>
  <si>
    <t>Holding Period (Years)</t>
  </si>
  <si>
    <t>Implied IRR (approx)</t>
  </si>
  <si>
    <t>NTB Registry — Need-to-Believe Statements</t>
  </si>
  <si>
    <t>Shopify has 6 NTBs. Statements below link to NTB Registry &amp; Driver Tree tabs.</t>
  </si>
  <si>
    <t>NTB #</t>
  </si>
  <si>
    <t>NTB Statement</t>
  </si>
  <si>
    <t>NTB 1</t>
  </si>
  <si>
    <t>NTB-1: GMV growth sustains 25%+ through FY2027 despite tougher comps &amp; FX normalisation [H / LOW / CRITICAL]</t>
  </si>
  <si>
    <t>NTB 2</t>
  </si>
  <si>
    <t>NTB-2: Shopify Payments GPV penetration reaches 70%+ within 24 months; take-rate expands to 2.50%+ of GMV [H / MEDIUM / CRITICAL]</t>
  </si>
  <si>
    <t>NTB 3</t>
  </si>
  <si>
    <t>NTB-3: AI-driven commerce (Sidekick, UCP, agentic checkout) is net revenue-positive; LLM cost inflation contained [H / LOW / CRITICAL]</t>
  </si>
  <si>
    <t>NTB 4</t>
  </si>
  <si>
    <t>NTB-4: Enterprise wins (Shopify Plus) are durable and do not erode margins via bespoke development [E / MEDIUM / NON-CRITICAL]</t>
  </si>
  <si>
    <t>NTB 5</t>
  </si>
  <si>
    <t>NTB-5: FCF margin expands from 15-17% to 20%+ by FY2028 without sacrificing 25%+ revenue growth [E / MEDIUM / PARTIAL]</t>
  </si>
  <si>
    <t>DRIVER TREE ASSUMPTIONS</t>
  </si>
  <si>
    <t xml:space="preserve">  Model Links  [black = auto-updated from FINANCIAL MODEL]</t>
  </si>
  <si>
    <t>Entry GMV ($B)  [FY2026E]</t>
  </si>
  <si>
    <t>GMV at entry year; drives volume effect calculations</t>
  </si>
  <si>
    <t>Exit GMV ($B)  [FY2028E]</t>
  </si>
  <si>
    <t>Entry Attach Rate (bps)  [FY2026E]</t>
  </si>
  <si>
    <t>Merchant Solutions Rev / GMV, in bps; used as baseline for volume effect</t>
  </si>
  <si>
    <t>Exit Attach Rate (bps)  [FY2028E]</t>
  </si>
  <si>
    <t>Entry GPV Penetration (%)  [FY2026E]</t>
  </si>
  <si>
    <t>% of GMV processed through Shopify Payments</t>
  </si>
  <si>
    <t>Exit GPV Penetration (%)  [FY2028E]</t>
  </si>
  <si>
    <t>Entry MRR ($M)  [FY2026E]</t>
  </si>
  <si>
    <t>Exit MRR ($M)  [FY2028E]</t>
  </si>
  <si>
    <t>Entry Merchant Solutions Revenue ($M)</t>
  </si>
  <si>
    <t>GMV ($B) × Attach Rate (decimal) × 1000 → $M</t>
  </si>
  <si>
    <t>Exit Merchant Solutions Revenue ($M)</t>
  </si>
  <si>
    <t>Entry Total Revenue ($M)  [FY2026E]</t>
  </si>
  <si>
    <t>Exit Total Revenue ($M)  [FY2028E]</t>
  </si>
  <si>
    <t>Entry Subscription Solutions Revenue ($M)</t>
  </si>
  <si>
    <t>Total Rev − Merchant Solutions Rev</t>
  </si>
  <si>
    <t>Exit Subscription Solutions Revenue ($M)</t>
  </si>
  <si>
    <t>Base GMV ($B)  [FY2025A — for GPV revenue scaling]</t>
  </si>
  <si>
    <t>IC Memo $67M/100bps disclosure is at FY2025A GMV; scale by exit/base ratio</t>
  </si>
  <si>
    <t xml:space="preserve">  IC Memo / Analyst Inputs  [blue = editable]</t>
  </si>
  <si>
    <t>GPV Revenue per 100bps penetration at Base GMV ($M)</t>
  </si>
  <si>
    <t>IC Memo v2 disclosure: each 100bps Shopify Payments penetration = $67M revenue at FY2025A GMV ($378.4B)</t>
  </si>
  <si>
    <t xml:space="preserve">  GMV Sub-Driver Allocations  [% of incremental GMV — analyst judgment]</t>
  </si>
  <si>
    <t>Same-Cohort Productivity (%)</t>
  </si>
  <si>
    <t>Existing merchant same-store GMV growth</t>
  </si>
  <si>
    <t>New Merchant Acquisition (%)</t>
  </si>
  <si>
    <t>Net new merchant cohort GMV adds</t>
  </si>
  <si>
    <t>Geographic Expansion (Intl) (%)</t>
  </si>
  <si>
    <t>IC Memo: International GMV +45% YoY Q1'26</t>
  </si>
  <si>
    <t>B2B / POS / Channel (%)</t>
  </si>
  <si>
    <t>IC Memo: B2B +80%, POS +33%, Shop App</t>
  </si>
  <si>
    <t>Allocation Sum Check (must = 100%)</t>
  </si>
  <si>
    <t>⚠ Must equal 100% — adjust allocations above if not</t>
  </si>
  <si>
    <t xml:space="preserve">  Incremental EBITDA Margins  [calibrated to model EBITDA delta]</t>
  </si>
  <si>
    <t>Merchant Solutions Incr. EBITDA Margin (%)</t>
  </si>
  <si>
    <t>37.7% seg. gross margin − 16.3% incremental opex rate; calibrated to model EBITDA delta</t>
  </si>
  <si>
    <t>Subscription Solutions Incr. EBITDA Margin (%)</t>
  </si>
  <si>
    <t>82.0% seg. gross margin − 14.4% incremental opex rate</t>
  </si>
  <si>
    <t xml:space="preserve">  Note: Incr. opex rate = ΔOpEx / ΔRevenue = ($4,841M−$3,787M) / ($22,138M−$14,818M) = 14.4%</t>
  </si>
  <si>
    <t xml:space="preserve">  Subscription MRR Sub-Drivers  [from model.xlsx Drivers sheet]</t>
  </si>
  <si>
    <t>FY2025A Plus / Enterprise MRR ($M)</t>
  </si>
  <si>
    <t>model.xlsx Drivers row 65 col BO</t>
  </si>
  <si>
    <t>Entry Plus / Enterprise MRR ($M)  [FY2026E]</t>
  </si>
  <si>
    <t>model.xlsx Drivers row 65 col BT</t>
  </si>
  <si>
    <t>Exit Plus / Enterprise MRR ($M)  [FY2028E]</t>
  </si>
  <si>
    <t>model.xlsx Drivers row 65 col CD</t>
  </si>
  <si>
    <t>FY2025A Core MRR ($M)</t>
  </si>
  <si>
    <t>model.xlsx Drivers row 70 col BO</t>
  </si>
  <si>
    <t>Entry Core MRR ($M)  [FY2026E]</t>
  </si>
  <si>
    <t>model.xlsx Drivers row 70 col BT</t>
  </si>
  <si>
    <t>Exit Core MRR ($M)  [FY2028E]</t>
  </si>
  <si>
    <t>model.xlsx Drivers row 70 col CD</t>
  </si>
  <si>
    <t>Revenue / MRR Multiplier (implied)</t>
  </si>
  <si>
    <t>Entry Sub Revenue ÷ Entry MRR; used to convert incremental MRR → incremental revenue</t>
  </si>
  <si>
    <t>Historical Financials — Shopify FY2022–FY2025A (Adj. Non-GAAP, $M)</t>
  </si>
  <si>
    <t>Adj. non-GAAP figures. Revenue/GP/EBITDA from earnings releases. OpEx split approximate. Sources: Shopify Q1'26 earnings; GS, JPM, Citizens, Baird, KeyBanc research (May 2026).</t>
  </si>
  <si>
    <t>Line Item ($M)</t>
  </si>
  <si>
    <t>FY2022</t>
  </si>
  <si>
    <t>FY2023</t>
  </si>
  <si>
    <t>FY2024</t>
  </si>
  <si>
    <t>FY2025A</t>
  </si>
  <si>
    <t>Notes / Source</t>
  </si>
  <si>
    <t>INCOME STATEMENT</t>
  </si>
  <si>
    <t>Revenue ($M)</t>
  </si>
  <si>
    <t>Shopify Q1/Q4'26 earnings releases; FY2025A +30.2% YoY</t>
  </si>
  <si>
    <t xml:space="preserve">  YoY Growth %</t>
  </si>
  <si>
    <t>Calculated YoY</t>
  </si>
  <si>
    <t>Cost of Revenue ($M)</t>
  </si>
  <si>
    <t>Blended: Sub ~20% COGS, MS ~62% COGS</t>
  </si>
  <si>
    <t>Gross Profit ($M)</t>
  </si>
  <si>
    <t>Blended GM: 48.8% (FY22) → 49.8% (FY25)</t>
  </si>
  <si>
    <t xml:space="preserve">  Gross Margin %</t>
  </si>
  <si>
    <t xml:space="preserve">  Sales &amp; Marketing ($M)</t>
  </si>
  <si>
    <t>Non-GAAP (excl. SBC)</t>
  </si>
  <si>
    <t xml:space="preserve">  Research &amp; Development ($M)</t>
  </si>
  <si>
    <t>Reduced post-2022 workforce restructuring</t>
  </si>
  <si>
    <t xml:space="preserve">  General &amp; Administrative ($M)</t>
  </si>
  <si>
    <t>Non-GAAP</t>
  </si>
  <si>
    <t>Total Operating Expenses ($M)</t>
  </si>
  <si>
    <t>Sum S&amp;M + R&amp;D + G&amp;A (non-GAAP)</t>
  </si>
  <si>
    <t>EBITDA (adj.) ($M)</t>
  </si>
  <si>
    <t>Non-GAAP adj. EBITDA; source: earnings releases + GS/JPM</t>
  </si>
  <si>
    <t xml:space="preserve">  EBITDA Margin %</t>
  </si>
  <si>
    <t>D&amp;A ($M)</t>
  </si>
  <si>
    <t>Approximate; ~3.6% → 2.7% of revenue</t>
  </si>
  <si>
    <t>EBIT ($M)</t>
  </si>
  <si>
    <t>EBITDA minus D&amp;A</t>
  </si>
  <si>
    <t>Interest Income/(Expense) ($M)</t>
  </si>
  <si>
    <t>Net interest income (Shopify has net cash position)</t>
  </si>
  <si>
    <t>EBT ($M)</t>
  </si>
  <si>
    <t>Tax ($M)</t>
  </si>
  <si>
    <t>Effective rate ~15% on adj. basis</t>
  </si>
  <si>
    <t>Net Income (adj.) ($M)</t>
  </si>
  <si>
    <t>Adj. net income (non-GAAP)</t>
  </si>
  <si>
    <t>BALANCE SHEET (KEY ITEMS)</t>
  </si>
  <si>
    <t>Cash &amp; Equivalents ($M)</t>
  </si>
  <si>
    <t>Q4 balance; FY2025 cash per Q1'26 BS</t>
  </si>
  <si>
    <t>Total Debt ($M)</t>
  </si>
  <si>
    <t>$913M conv. notes repaid FY2024; $0 thereafter</t>
  </si>
  <si>
    <t>Net Debt ($M) [neg = net cash]</t>
  </si>
  <si>
    <t>Negative = net cash</t>
  </si>
  <si>
    <t>Total Assets ($M)</t>
  </si>
  <si>
    <t>Total assets per annual 10-K</t>
  </si>
  <si>
    <t>CASH FLOW (KEY ITEMS)</t>
  </si>
  <si>
    <t>Operating Cash Flow ($M)</t>
  </si>
  <si>
    <t>OCF = FCF + Capex</t>
  </si>
  <si>
    <t>Capex ($M)</t>
  </si>
  <si>
    <t>~1.8% of revenue; primarily technology infrastructure</t>
  </si>
  <si>
    <t>Free Cash Flow ($M)</t>
  </si>
  <si>
    <t>FCF = OCF - Capex; FY2022: -$186M (growth investment); FY2025A $2,007M (17.4%)</t>
  </si>
  <si>
    <t>Financial Model — Shopify Historical &amp; Projections</t>
  </si>
  <si>
    <t>FY2026E</t>
  </si>
  <si>
    <t>FY2027E</t>
  </si>
  <si>
    <t>FY2028E</t>
  </si>
  <si>
    <t>FY2029E</t>
  </si>
  <si>
    <t>FY2030E</t>
  </si>
  <si>
    <t>Notes</t>
  </si>
  <si>
    <t>Projection Assumptions (Yellow = change for scenario analysis)</t>
  </si>
  <si>
    <t>FY2026E–FY2030E assumptions driven by consensus estimates + IC memo thesis.</t>
  </si>
  <si>
    <t>Revenue Growth %</t>
  </si>
  <si>
    <t>FY2026E: +28.2% (model); decel to +18% by FY2030E</t>
  </si>
  <si>
    <t>FY2026E: +29% (consensus); decel to +18% by FY2030E</t>
  </si>
  <si>
    <t>Gross Margin %</t>
  </si>
  <si>
    <t>50.0%–52.0%; modest Sub mix uplift</t>
  </si>
  <si>
    <t>S&amp;M % of Revenue</t>
  </si>
  <si>
    <t>12.5% → 11.2%; OpEx leverage on scale</t>
  </si>
  <si>
    <t>R&amp;D % of Revenue</t>
  </si>
  <si>
    <t>11.3% → 11.0%; AI capex partially capitalised</t>
  </si>
  <si>
    <t>G&amp;A % of Revenue</t>
  </si>
  <si>
    <t>7.5% → 7.3%; fixed overhead scale benefit</t>
  </si>
  <si>
    <t>D&amp;A % of Revenue</t>
  </si>
  <si>
    <t>2.8% → 2.4%; intangible amortisation declining</t>
  </si>
  <si>
    <t>Tax Rate %</t>
  </si>
  <si>
    <t>15% effective; SBC deductions + R&amp;D credits</t>
  </si>
  <si>
    <t>Capex % of Revenue</t>
  </si>
  <si>
    <t>1.7% → 1.4%; lean capex model</t>
  </si>
  <si>
    <t>Income Statement</t>
  </si>
  <si>
    <t>Revenue</t>
  </si>
  <si>
    <t>Q1'26A $3,170M (+34% YoY); FY2026E consensus $14,885M (+29%)</t>
  </si>
  <si>
    <t>Gross Profit</t>
  </si>
  <si>
    <t>Sub Solutions ~80% GM; Merchant Solutions ~38% GM; blended expands</t>
  </si>
  <si>
    <t xml:space="preserve">  Sales &amp; Marketing</t>
  </si>
  <si>
    <t xml:space="preserve">  Research &amp; Development</t>
  </si>
  <si>
    <t>AI/Sidekick investment headwind ~FY2026–27</t>
  </si>
  <si>
    <t xml:space="preserve">  General &amp; Administrative</t>
  </si>
  <si>
    <t>Total OpEx</t>
  </si>
  <si>
    <t>Q1'26 OpEx/Rev = 32%; target 28% by FY2030E via operating leverage</t>
  </si>
  <si>
    <t>EBITDA (adj.)</t>
  </si>
  <si>
    <t>FY2025A 17.3% (model); FY2026E ~18.8%; FY2028E ~21.2%</t>
  </si>
  <si>
    <t>FY2025A 17.4%; FY2026E ~18.7% consensus; FY2028E base ~20%</t>
  </si>
  <si>
    <t>D&amp;A</t>
  </si>
  <si>
    <t>EBIT</t>
  </si>
  <si>
    <t>Interest Income/(Expense)</t>
  </si>
  <si>
    <t>Shopify earns net interest on ~$6-9B cash; model as income (negative expense)</t>
  </si>
  <si>
    <t>EBT</t>
  </si>
  <si>
    <t>Tax</t>
  </si>
  <si>
    <t>~15% effective adj. rate; SBC deductions support</t>
  </si>
  <si>
    <t>Net Income (adj.)</t>
  </si>
  <si>
    <t>Free Cash Flow</t>
  </si>
  <si>
    <t>Less: Capex</t>
  </si>
  <si>
    <t>~1.7%→1.4% of rev; technology infrastructure + office</t>
  </si>
  <si>
    <t>Less: Interest &amp; Other</t>
  </si>
  <si>
    <t>Leave blank; interest income captured in NI above</t>
  </si>
  <si>
    <t>FY2022: -$186M; FY2025A $2,007M (17.4%); FY2028E $4,274M (19.3%)</t>
  </si>
  <si>
    <t>FY2025A $2,007M (17.4%); FY2026E ~$2,610M cons (17.5%); FY2028E ~$4.1B target</t>
  </si>
  <si>
    <t>Shopify-Specific KPIs (Supplemental)</t>
  </si>
  <si>
    <t>GMV ($B)</t>
  </si>
  <si>
    <t>Model FY2025A $378.4B (+29% YoY); FY2028E $699.6B (+20%)</t>
  </si>
  <si>
    <t>Q1'26A: $100.7B (+35%); FY2025A ~$329B (+23%)</t>
  </si>
  <si>
    <t>GPV Penetration % of GMV</t>
  </si>
  <si>
    <t>GPV% FY2025A: 68%; FY2026E: 71%; FY2028E: 79% (model)</t>
  </si>
  <si>
    <t>Q1'26A: 67%; targeting 72%+ by FY2028</t>
  </si>
  <si>
    <t>Merchant Solutions Rev/GMV (Take Rate)</t>
  </si>
  <si>
    <t>Attach rate FY2025A: 2.33%; FY2028E: 2.59% (model)</t>
  </si>
  <si>
    <t>Q1'26A: 2.40% (+7bps YoY)</t>
  </si>
  <si>
    <t>MRR ($M)</t>
  </si>
  <si>
    <t>MRR FY2025A: $205M; FY2026E: $239M; FY2028E: $291M (model)</t>
  </si>
  <si>
    <t>Q1'26A: $212M (+16% YoY); Plus ~28% of MRR</t>
  </si>
  <si>
    <t>KPI Tree — Shopify Management Plan Audit</t>
  </si>
  <si>
    <t>FY2026E Budget = Street consensus (May 2026). Actual = Q1'26A annualised or FY2025A. Green = on track. Orange = watch. Red = behind plan.</t>
  </si>
  <si>
    <t>Lvl</t>
  </si>
  <si>
    <t>KPI Name</t>
  </si>
  <si>
    <t>Category</t>
  </si>
  <si>
    <t>Financial Model Line</t>
  </si>
  <si>
    <t>Frequency</t>
  </si>
  <si>
    <t>FY2025A
Actual</t>
  </si>
  <si>
    <t>FY2026E
Budget</t>
  </si>
  <si>
    <t>FY2028E
Exit</t>
  </si>
  <si>
    <t>Δ vs Budget</t>
  </si>
  <si>
    <t>Status</t>
  </si>
  <si>
    <t>NS</t>
  </si>
  <si>
    <t>NORTH STAR — GMV ($B)</t>
  </si>
  <si>
    <t>Scale</t>
  </si>
  <si>
    <t>Quarterly</t>
  </si>
  <si>
    <t>Q1'26A: $100.7B (+35%); FY2026E: $489B consensus</t>
  </si>
  <si>
    <t>Total Revenue ($M)</t>
  </si>
  <si>
    <t>Growth</t>
  </si>
  <si>
    <t>Monthly</t>
  </si>
  <si>
    <t>Q1'26A: $3,170M (+34%); consensus $14.9B</t>
  </si>
  <si>
    <t xml:space="preserve">  Subscription Solutions ($M)</t>
  </si>
  <si>
    <t>Q1'26A: $750M (+21%); 23% of Q1 rev</t>
  </si>
  <si>
    <t xml:space="preserve">  Merchant Solutions ($M)</t>
  </si>
  <si>
    <t>Q1'26A: $2,420M (+39%); 77% of Q1 rev</t>
  </si>
  <si>
    <t xml:space="preserve">  MRR ($M)</t>
  </si>
  <si>
    <t>Q1'26A: $212M (+16%); Plus ~28%</t>
  </si>
  <si>
    <t>Blended Gross Margin</t>
  </si>
  <si>
    <t>Margin</t>
  </si>
  <si>
    <t>Q1'26A: 48.8%; modest improvement expected</t>
  </si>
  <si>
    <t xml:space="preserve">  Sub Solutions Gross Margin</t>
  </si>
  <si>
    <t>AI/LLM cost headwind; -10bps YoY in Q1'26</t>
  </si>
  <si>
    <t xml:space="preserve">  Merchant Solutions Gross Margin</t>
  </si>
  <si>
    <t>Payments mix increasing; take rate expanding</t>
  </si>
  <si>
    <t>Adj. EBITDA Margin</t>
  </si>
  <si>
    <t>Q1'26A: 16.5% (adj.); opex leverage continues</t>
  </si>
  <si>
    <t xml:space="preserve">  S&amp;M % of Revenue</t>
  </si>
  <si>
    <t>Efficiency</t>
  </si>
  <si>
    <t>Q1'26A: ~12.1%</t>
  </si>
  <si>
    <t xml:space="preserve">  R&amp;D % of Revenue</t>
  </si>
  <si>
    <t>AI/Sidekick investment increasing R&amp;D as % rev</t>
  </si>
  <si>
    <t xml:space="preserve">  OpEx Total % of Revenue</t>
  </si>
  <si>
    <t>Q1'26 = 32%; targeting 31% FY2026E</t>
  </si>
  <si>
    <t>GMV Specific KPIs</t>
  </si>
  <si>
    <t>N/A</t>
  </si>
  <si>
    <t xml:space="preserve">  GPV Penetration % GMV</t>
  </si>
  <si>
    <t>Payments</t>
  </si>
  <si>
    <t>Q1'26A: 67%; +200bps/yr trajectory</t>
  </si>
  <si>
    <t xml:space="preserve">  Payments Take Rate (GPV/Rev)</t>
  </si>
  <si>
    <t xml:space="preserve">  B2B GMV Growth %</t>
  </si>
  <si>
    <t>Q1'26A: +80% YoY; early-stage, pre-scale</t>
  </si>
  <si>
    <t xml:space="preserve">  International GMV Growth %</t>
  </si>
  <si>
    <t>Q1'26A: +45% YoY; Europe +48%</t>
  </si>
  <si>
    <t>Cash</t>
  </si>
  <si>
    <t>Q1'26A: $476M (15%); full-yr cons $2.6B (17.5%)</t>
  </si>
  <si>
    <t xml:space="preserve">  FCF Margin</t>
  </si>
  <si>
    <t>Q2'26 guide: mid-teens (MCA reclass headwind)</t>
  </si>
  <si>
    <t xml:space="preserve">  Capex % Revenue</t>
  </si>
  <si>
    <t>Lean capex model maintained</t>
  </si>
  <si>
    <t>DRIVER TREE  |  SHOPIFY</t>
  </si>
  <si>
    <t>Paasche revenue decomposition: GMV Volume Effect + Attach Rate Improvement → EBITDA → EV → MOIC</t>
  </si>
  <si>
    <t>REVENUE DRIVER DECOMPOSITION  —  EBITDA  —  EV  —  MOIC</t>
  </si>
  <si>
    <t>Driver</t>
  </si>
  <si>
    <t>KPI Metric</t>
  </si>
  <si>
    <t>Unit</t>
  </si>
  <si>
    <t>FY2026E
(Entry)</t>
  </si>
  <si>
    <t>FY2028E
(Exit)</t>
  </si>
  <si>
    <t>Δ (28E–26E)</t>
  </si>
  <si>
    <t>Revenue
Impact ($M)</t>
  </si>
  <si>
    <t>Incr.
EBITDA %</t>
  </si>
  <si>
    <t>EBITDA
Impact ($M)</t>
  </si>
  <si>
    <t>EV Impact
($M, ×entry)</t>
  </si>
  <si>
    <t>MOIC
Delta (×)</t>
  </si>
  <si>
    <t>MERCHANT SOLUTIONS REVENUE</t>
  </si>
  <si>
    <t>Model</t>
  </si>
  <si>
    <t>Revenue = GMV × Attach Rate</t>
  </si>
  <si>
    <t>$M</t>
  </si>
  <si>
    <t xml:space="preserve">  GMV Volume Effect</t>
  </si>
  <si>
    <t>ΔGMV × entry attach rate (240.9 bps) — sub-driver splits per INPUTS rows 68–71</t>
  </si>
  <si>
    <t xml:space="preserve">        Same-Cohort Productivity</t>
  </si>
  <si>
    <t>Analyst</t>
  </si>
  <si>
    <t>Same-cohort GMV (40% of ΔGMV)</t>
  </si>
  <si>
    <t>$B</t>
  </si>
  <si>
    <t xml:space="preserve">        New Merchant Acquisition</t>
  </si>
  <si>
    <t>New merchant GMV (30% of ΔGMV)</t>
  </si>
  <si>
    <t xml:space="preserve">        Geographic Expansion (International)</t>
  </si>
  <si>
    <t>IC Memo</t>
  </si>
  <si>
    <t>International GMV (20% of ΔGMV) — +45% YoY</t>
  </si>
  <si>
    <t xml:space="preserve">        B2B / POS / Channel</t>
  </si>
  <si>
    <t>B2B / POS / Channel GMV (10% of ΔGMV) — +80% YoY</t>
  </si>
  <si>
    <t xml:space="preserve">      Subtotal: GMV Volume Effect</t>
  </si>
  <si>
    <t>Total ΔGMV × entry attach rate 240.9 bps</t>
  </si>
  <si>
    <t xml:space="preserve">  Attach Rate Improvement</t>
  </si>
  <si>
    <t>Δattach rate × exit GMV — GPV + non-payments components</t>
  </si>
  <si>
    <t xml:space="preserve">        GPV Penetration (71% → 79%)</t>
  </si>
  <si>
    <t>Model + IC Memo</t>
  </si>
  <si>
    <t>GPV% of GMV — IC Memo: $67M per 100bps at base GMV</t>
  </si>
  <si>
    <t>%</t>
  </si>
  <si>
    <t xml:space="preserve">        Non-Payments Attach (MCA, Balance, Markets)</t>
  </si>
  <si>
    <t>Residual attach rate (MCA, Balance, Markets)</t>
  </si>
  <si>
    <t>bps residual</t>
  </si>
  <si>
    <t xml:space="preserve">      Subtotal: Attach Rate Improvement</t>
  </si>
  <si>
    <t>Total merch rev delta − GMV volume effect</t>
  </si>
  <si>
    <t>bps</t>
  </si>
  <si>
    <t>TOTAL: Merchant Solutions Revenue</t>
  </si>
  <si>
    <t>SUBSCRIPTION SOLUTIONS REVENUE</t>
  </si>
  <si>
    <t>Revenue ≈ MRR × Revenue/MRR multiplier (INPUTS!C86)</t>
  </si>
  <si>
    <t xml:space="preserve">    MRR Build</t>
  </si>
  <si>
    <t xml:space="preserve">        Plus / Enterprise MRR Growth</t>
  </si>
  <si>
    <t>Plus MRR ($M) — $25M+ GMV cohort, 28%→39% of MRR</t>
  </si>
  <si>
    <t>$M MRR</t>
  </si>
  <si>
    <t xml:space="preserve">        Core SMB MRR Growth</t>
  </si>
  <si>
    <t>Core MRR ($M) — Basic/Standard/Advanced plans</t>
  </si>
  <si>
    <t>TOTAL: Subscription Solutions Revenue</t>
  </si>
  <si>
    <t>TOTAL REVENUE GROWTH</t>
  </si>
  <si>
    <t>VALUE CREATION BRIDGE</t>
  </si>
  <si>
    <t>Component</t>
  </si>
  <si>
    <t>EBITDA
Effect ($M)</t>
  </si>
  <si>
    <t>×
Multiple</t>
  </si>
  <si>
    <t>EV
Impact ($M)</t>
  </si>
  <si>
    <t>Revenue-Driven EBITDA Growth  (EBITDA delta × entry multiple 48.5×)</t>
  </si>
  <si>
    <t>Multiple Compression  (48.5× entry → 45.0× exit × exit EBITDA $4,687M)</t>
  </si>
  <si>
    <t>Net Cash Build  (net cash $6.3B entry → $12.4B exit)</t>
  </si>
  <si>
    <t>TOTAL VALUE CREATION</t>
  </si>
  <si>
    <t>MOIC CHECK  =  1.00× + attribution  (should ≈ INPUTS!C34)</t>
  </si>
  <si>
    <t>INPUTS MOIC:</t>
  </si>
  <si>
    <t>Paasche: EV = EBITDA delta × entry multiple 48.5×. Multiple compression uses exit EBITDA. Net cash sign: negative = cash-rich.</t>
  </si>
  <si>
    <t>MOIC Bridge — Shopify Entry to Exit (FY2028E Base)</t>
  </si>
  <si>
    <t>Equity value waterfall from entry ($108/share) to exit (FY2028E base). NTB contributions pull from NTB Registry (incremental EV if NTB confirmed). Note: Shopify is a public equity long; MOIC reflects total return, not PE carry.</t>
  </si>
  <si>
    <t>Equity Value ($M)</t>
  </si>
  <si>
    <t>MOIC Contribution</t>
  </si>
  <si>
    <t>Cumulative MOIC</t>
  </si>
  <si>
    <t>Entry Equity Invested  ($108/share × 1,307M)</t>
  </si>
  <si>
    <t>NTB-1: GMV Sustains 25%+ Through FY2027</t>
  </si>
  <si>
    <t>NTB-2: Payments GPV Penetration to 70%+</t>
  </si>
  <si>
    <t>NTB-3: AI Commerce Net Revenue-Positive</t>
  </si>
  <si>
    <t>NTB-4: Enterprise Plus Margin Durable</t>
  </si>
  <si>
    <t>NTB-5: FCF Margin Expands to 20%+  [not modeled in base case]</t>
  </si>
  <si>
    <t>NTB-6: Macro Does Not Materially Deteriorate  [not modeled in base case]</t>
  </si>
  <si>
    <t>Multiple Re-rating / Compression  (48.5x entry to 45.0x exit x $4.7B exit EBITDA)</t>
  </si>
  <si>
    <t>Net Cash Build  (Net cash $6.3B to $12.4B; INPUTS rows 20 / 29)</t>
  </si>
  <si>
    <t>Exit Proceeds to Equity  (FY2028E Base: 45x × $4.49B EBITDA + $8.5B net cash)</t>
  </si>
  <si>
    <t>NTB REGISTRY  ·  SHOPIFY DEAL WORKBOOK</t>
  </si>
  <si>
    <t>Investment thesis mapped to revenue drivers → EBITDA → EV → MOIC attribution. Base = model FY2028E. Upside = IC Memo bull case.</t>
  </si>
  <si>
    <t>Source: IC Memo v2 Pillars 1-4 mapped to DRIVER TREE. Base EV uses Paasche decomposition (×48.5 entry multiple). Upside = analyst thesis above model.</t>
  </si>
  <si>
    <t>NTB REGISTRY  —  THESIS TO VALUE ATTRIBUTION</t>
  </si>
  <si>
    <t>NTB</t>
  </si>
  <si>
    <t>Theme</t>
  </si>
  <si>
    <t>Thesis Summary (Key Assumption vs. Consensus)</t>
  </si>
  <si>
    <t>Base EV
Impact ($M)</t>
  </si>
  <si>
    <t>Base MOIC
Delta (×)</t>
  </si>
  <si>
    <t>Upside EV
($M)</t>
  </si>
  <si>
    <t>Upside MOIC
(×)</t>
  </si>
  <si>
    <t>IC Memo Pillar</t>
  </si>
  <si>
    <t>Driver Tree Rows</t>
  </si>
  <si>
    <t>Rating / Status</t>
  </si>
  <si>
    <t>GMV Flywheel</t>
  </si>
  <si>
    <t>Thesis: Multiple independent GMV growth vectors (same-cohort expansion, new merchant acquisition, geographic expansion to 15 intl markets, B2B +80% YoY) sustain 20-22% GMV CAGR through FY2028E vs. consensus expectation of GMV deceleration driven by FX and tougher comps. Key: geographic and B2B channels reduce single-point-of-failure risk. [IC Memo: Pillar 1 — LOW evidence strength, THESIS-CRITICAL]</t>
  </si>
  <si>
    <t>Pillar 1</t>
  </si>
  <si>
    <t>Same-Cohort, New Merchant,
Geographic, B2B/Channel</t>
  </si>
  <si>
    <t>OPEN — thesis-critical</t>
  </si>
  <si>
    <t>Payments Monetization</t>
  </si>
  <si>
    <t>Thesis: GPV penetration grows 71% → 79% FY2026-28E driven by Shop Pay expansion on non-Shopify storefronts, checkout optimization, and merchant incentives. Each 100bps penetration = $124M incremental revenue at exit GMV ($699.6B). Model assumes 8pp penetration gain; consensus (sell-side avg) ~74% FY2028E implies 5pp below model — model is already thesis-aligned. Non-payments (MCA, Balance) add $268M incremental. [IC Memo: Pillar 2 — HIGH evidence strength, Payments thesis CONFIRMED]</t>
  </si>
  <si>
    <t>Pillar 2</t>
  </si>
  <si>
    <t>GPV Penetration,
Non-Payments Attach</t>
  </si>
  <si>
    <t>CONFIRMED — HIGH evidence</t>
  </si>
  <si>
    <t>AI Commerce Platform (Optionality)</t>
  </si>
  <si>
    <t>Thesis: Shopify's 20+ year proprietary commerce data creates a structural moat vs. general-purpose AI (2× conversion rate on AI-assisted orders vs. organic search Q1'26). AI revenue streams (Sidekick subscription, Usage-based Commerce Protocols) not yet in base model — pure optionality upside. No FY2028E base case contribution modeled. Upside scenario: $40B EV ($15B Sidekick + $25B UCP). [IC Memo: Pillar 3 — MEDIUM evidence strength, THESIS-CRITICAL for long-term]</t>
  </si>
  <si>
    <t>Pillar 3</t>
  </si>
  <si>
    <t>AI Sidekick (C1),
AI UCP (C3) — upside only</t>
  </si>
  <si>
    <t>OPEN — hypothesis, not in model</t>
  </si>
  <si>
    <t>Enterprise Upmarket</t>
  </si>
  <si>
    <t>Thesis: $25M+ GMV cohort is fastest-growing segment Q1'26 with no SMB cannibalization. Plus MRR grows from $83.6M (FY2026E, 35% of MRR) to $114.5M (FY2028E, 39% of MRR) driving $427M incremental subscription revenue at ~82% gross margin. High-margin subscription mix shift benefits blended margins. Upside: Plus penetration accelerates to 45% of MRR ($137M) by FY2028E. [IC Memo: Pillar 4 — MEDIUM evidence strength, VALUATION OPTIONALITY]</t>
  </si>
  <si>
    <t>Pillar 4</t>
  </si>
  <si>
    <t>Plus/Enterprise MRR,
Core SMB MRR</t>
  </si>
  <si>
    <t>WATCH — valuation optionality</t>
  </si>
  <si>
    <t>Multiple Compression (Risk)</t>
  </si>
  <si>
    <t>Risk: Entry at 48.5× EV/EBITDA creates structural headwind. Exit at 45× already assumes compression. Each 1× turn of additional compression = $4,687M additional EV reduction = -0.033x MOIC drag. Downside scenario: exit at 40× → additional -$23.4B EV → MOIC = 1.41× (vs. 1.58× base). Offsetting factor: EBITDA growth nearly triples ($2.79B → $4.69B), supporting multiple. [Macro risk: consumer softness, tariff impact on SMB GMV]</t>
  </si>
  <si>
    <t>Macro / Risk</t>
  </si>
  <si>
    <t>Multiple Compression,
Macro Consumer Risk</t>
  </si>
  <si>
    <t>STRUCTURAL — mitigant: EBITDA growth</t>
  </si>
  <si>
    <t>TOTAL</t>
  </si>
  <si>
    <t>Base + Multiple Compression + Net Cash</t>
  </si>
  <si>
    <t>MOIC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</si>
</sst>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#,##0;\(#,##0\);&quot;-&quot;"/>
    <numFmt numFmtId="165" formatCode="\$#,##0;\(\$#,##0\);&quot;-&quot;"/>
    <numFmt numFmtId="166" formatCode="0.0%;\(0.0%\);&quot;-&quot;"/>
    <numFmt numFmtId="167" formatCode="0.0&quot;x&quot;;\(0.0&quot;x&quot;\);&quot;-&quot;"/>
    <numFmt numFmtId="168" formatCode="\$#,##0.0;\(\$#,##0.0\);&quot;-&quot;"/>
    <numFmt numFmtId="169" formatCode="#,##0.0;\(#,##0.0\);&quot;-&quot;"/>
    <numFmt numFmtId="170" formatCode="0.00%;\(0.00%\);&quot;-&quot;"/>
    <numFmt numFmtId="171" formatCode="0.0%"/>
    <numFmt numFmtId="172" formatCode="0.00\x"/>
    <numFmt numFmtId="174" formatCode="#,##0.0"/>
    <numFmt numFmtId="175" formatCode="\+0.000\x;\-0.000\x;&quot;-&quot;"/>
    <numFmt numFmtId="176" formatCode="0.0&quot;×&quot;"/>
    <numFmt numFmtId="177" formatCode="#,##0;\(#,##0\)"/>
    <numFmt numFmtId="178" formatCode="\+0.000\x;\-0.000\x"/>
    <numFmt numFmtId="179" formatCode="0.00&quot;×&quot;"/>
    <numFmt numFmtId="180" formatCode="\+0.0%;\-0.0%;&quot;-&quot;"/>
    <numFmt numFmtId="181" formatCode="#,##0.000"/>
    <numFmt numFmtId="182" formatCode="0.000&quot;x&quot;"/>
    <numFmt numFmtId="183" formatCode="\+0.0&quot;ppt&quot;;\-0.0&quot;ppt&quot;;&quot;-&quot;"/>
  </numFmts>
  <fonts count="3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595959"/>
      <name val="Arial"/>
      <family val="2"/>
    </font>
    <font>
      <b/>
      <sz val="9"/>
      <color rgb="FF000000"/>
      <name val="Arial"/>
      <family val="2"/>
    </font>
    <font>
      <b/>
      <sz val="9"/>
      <color rgb="FF0F4761"/>
      <name val="Arial"/>
      <family val="2"/>
    </font>
    <font>
      <sz val="9"/>
      <color rgb="FF0000FF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374151"/>
      <name val="Arial"/>
      <family val="2"/>
    </font>
    <font>
      <sz val="9"/>
      <color rgb="FF374151"/>
      <name val="Arial"/>
      <family val="2"/>
    </font>
    <font>
      <sz val="9"/>
      <color rgb="FF1D4ED8"/>
      <name val="Arial"/>
      <family val="2"/>
    </font>
    <font>
      <i/>
      <sz val="9"/>
      <color rgb="FF9CA3AF"/>
      <name val="Arial"/>
      <family val="2"/>
    </font>
    <font>
      <sz val="9"/>
      <color rgb="FF1F2937"/>
      <name val="Arial"/>
      <family val="2"/>
    </font>
    <font>
      <b/>
      <sz val="9"/>
      <color rgb="FF375623"/>
      <name val="Arial"/>
      <family val="2"/>
    </font>
    <font>
      <sz val="9"/>
      <color rgb="FF047857"/>
      <name val="Arial"/>
      <family val="2"/>
    </font>
    <font>
      <b/>
      <sz val="9"/>
      <color rgb="FFC00000"/>
      <name val="Arial"/>
      <family val="2"/>
    </font>
    <font>
      <sz val="9"/>
      <color rgb="FF9CA3AF"/>
      <name val="Arial"/>
      <family val="2"/>
    </font>
    <font>
      <b/>
      <sz val="11"/>
      <color rgb="FF0F4761"/>
      <name val="Arial"/>
      <family val="2"/>
    </font>
    <font>
      <i/>
      <sz val="7"/>
      <color rgb="FF444444"/>
      <name val="Arial"/>
      <family val="2"/>
    </font>
    <font>
      <b/>
      <sz val="9"/>
      <color rgb="FF4280F4"/>
      <name val="Arial"/>
      <family val="2"/>
    </font>
    <font>
      <sz val="7"/>
      <color rgb="FF444444"/>
      <name val="Arial"/>
      <family val="2"/>
    </font>
    <font>
      <sz val="7"/>
      <color rgb="FFC55A11"/>
      <name val="Arial"/>
      <family val="2"/>
    </font>
    <font>
      <sz val="7"/>
      <color rgb="FF3A00FD"/>
      <name val="Arial"/>
      <family val="2"/>
    </font>
    <font>
      <b/>
      <sz val="7"/>
      <color rgb="FFFFFFFF"/>
      <name val="Arial"/>
      <family val="2"/>
    </font>
    <font>
      <sz val="7"/>
      <color rgb="FF000000"/>
      <name val="Arial"/>
      <family val="2"/>
    </font>
    <font>
      <b/>
      <sz val="7"/>
      <color rgb="FFC55A11"/>
      <name val="Arial"/>
      <family val="2"/>
    </font>
    <font>
      <b/>
      <sz val="7"/>
      <color rgb="FF375623"/>
      <name val="Arial"/>
      <family val="2"/>
    </font>
    <font>
      <b/>
      <sz val="7"/>
      <color rgb="FFC00000"/>
      <name val="Arial"/>
      <family val="2"/>
    </font>
    <font>
      <sz val="9"/>
      <name val="Arial"/>
      <family val="2"/>
    </font>
    <font>
      <sz val="8"/>
      <color rgb="FF444444"/>
      <name val="Arial"/>
      <family val="2"/>
    </font>
    <font>
      <b/>
      <sz val="9"/>
      <color rgb="FF0000FF"/>
      <name val="Arial"/>
      <family val="2"/>
    </font>
    <font>
      <sz val="7"/>
      <color rgb="FFFFFFFF"/>
      <name val="Arial"/>
      <family val="2"/>
    </font>
    <font>
      <b/>
      <sz val="10"/>
      <color rgb="FF0F4761"/>
      <name val="Arial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i/>
      <sz val="9"/>
      <color rgb="FF666666"/>
      <name val="Calibri"/>
      <family val="2"/>
    </font>
    <font>
      <i/>
      <sz val="8"/>
      <color rgb="FF666666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F4761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C0"/>
      </patternFill>
    </fill>
    <fill>
      <patternFill patternType="solid">
        <fgColor rgb="FFD9E2F3"/>
      </patternFill>
    </fill>
    <fill>
      <patternFill patternType="solid">
        <fgColor rgb="FFE8EDF2"/>
      </patternFill>
    </fill>
    <fill>
      <patternFill patternType="solid">
        <fgColor rgb="FFF7F8FA"/>
      </patternFill>
    </fill>
    <fill>
      <patternFill patternType="solid">
        <fgColor rgb="FFC00000"/>
      </patternFill>
    </fill>
    <fill>
      <patternFill patternType="solid">
        <fgColor rgb="FFF0F0F0"/>
      </patternFill>
    </fill>
  </fills>
  <borders count="17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medium">
        <color rgb="FF0F4761"/>
      </bottom>
      <diagonal/>
    </border>
    <border>
      <left/>
      <right/>
      <top/>
      <bottom/>
      <diagonal/>
    </border>
    <border>
      <left/>
      <right/>
      <top/>
      <bottom style="thin">
        <color rgb="FF9CA3AF"/>
      </bottom>
      <diagonal/>
    </border>
    <border>
      <left/>
      <right/>
      <top/>
      <bottom style="thin">
        <color rgb="FFE5E7EB"/>
      </bottom>
      <diagonal/>
    </border>
    <border>
      <left/>
      <right/>
      <top/>
      <bottom style="medium">
        <color rgb="FF0F4761"/>
      </bottom>
      <diagonal/>
    </border>
    <border>
      <left/>
      <right/>
      <top/>
      <bottom style="medium">
        <color rgb="FF0F4761"/>
      </bottom>
      <diagonal/>
    </border>
    <border>
      <left/>
      <right/>
      <top/>
      <bottom style="thin">
        <color rgb="FF9CA3AF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DDDDDD"/>
      </bottom>
      <diagonal/>
    </border>
    <border>
      <left/>
      <right/>
      <top/>
      <bottom style="thin">
        <color rgb="FF9CA3AF"/>
      </bottom>
      <diagonal/>
    </border>
    <border>
      <left/>
      <right/>
      <top style="thin">
        <color rgb="FFC8C8C8"/>
      </top>
      <bottom/>
      <diagonal/>
    </border>
    <border>
      <left/>
      <right/>
      <top style="thin">
        <color rgb="FFC8C8C8"/>
      </top>
      <bottom style="thin">
        <color rgb="FFC8C8C8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37">
    <xf numFmtId="0" fontId="0" fillId="0" borderId="0" xfId="0"/>
    <xf numFmtId="0" fontId="8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168" fontId="7" fillId="5" borderId="2" xfId="0" applyNumberFormat="1" applyFont="1" applyFill="1" applyBorder="1" applyAlignment="1">
      <alignment horizontal="right" vertical="center"/>
    </xf>
    <xf numFmtId="165" fontId="8" fillId="5" borderId="2" xfId="0" applyNumberFormat="1" applyFont="1" applyFill="1" applyBorder="1" applyAlignment="1">
      <alignment horizontal="right" vertical="center"/>
    </xf>
    <xf numFmtId="0" fontId="0" fillId="2" borderId="4" xfId="0" applyFill="1" applyBorder="1"/>
    <xf numFmtId="0" fontId="0" fillId="0" borderId="5" xfId="0" applyBorder="1"/>
    <xf numFmtId="0" fontId="3" fillId="2" borderId="4" xfId="0" applyFont="1" applyFill="1" applyBorder="1" applyAlignment="1">
      <alignment horizontal="left" vertical="center"/>
    </xf>
    <xf numFmtId="0" fontId="10" fillId="3" borderId="7" xfId="0" applyFont="1" applyFill="1" applyBorder="1" applyAlignment="1">
      <alignment horizontal="left" vertical="center" wrapText="1"/>
    </xf>
    <xf numFmtId="0" fontId="14" fillId="3" borderId="7" xfId="0" applyFont="1" applyFill="1" applyBorder="1" applyAlignment="1">
      <alignment horizontal="left" vertical="center" wrapText="1"/>
    </xf>
    <xf numFmtId="0" fontId="10" fillId="8" borderId="7" xfId="0" applyFont="1" applyFill="1" applyBorder="1" applyAlignment="1">
      <alignment horizontal="left" vertical="center" wrapText="1"/>
    </xf>
    <xf numFmtId="0" fontId="14" fillId="8" borderId="7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left" vertical="center" wrapText="1"/>
    </xf>
    <xf numFmtId="49" fontId="12" fillId="3" borderId="7" xfId="0" applyNumberFormat="1" applyFont="1" applyFill="1" applyBorder="1" applyAlignment="1">
      <alignment horizontal="right" vertical="center"/>
    </xf>
    <xf numFmtId="0" fontId="11" fillId="8" borderId="7" xfId="0" applyFont="1" applyFill="1" applyBorder="1" applyAlignment="1">
      <alignment horizontal="left" vertical="center" wrapText="1"/>
    </xf>
    <xf numFmtId="49" fontId="12" fillId="8" borderId="7" xfId="0" applyNumberFormat="1" applyFont="1" applyFill="1" applyBorder="1" applyAlignment="1">
      <alignment horizontal="right" vertical="center"/>
    </xf>
    <xf numFmtId="164" fontId="12" fillId="3" borderId="7" xfId="0" applyNumberFormat="1" applyFont="1" applyFill="1" applyBorder="1" applyAlignment="1">
      <alignment horizontal="right" vertical="center"/>
    </xf>
    <xf numFmtId="164" fontId="12" fillId="8" borderId="7" xfId="0" applyNumberFormat="1" applyFont="1" applyFill="1" applyBorder="1" applyAlignment="1">
      <alignment horizontal="right" vertical="center"/>
    </xf>
    <xf numFmtId="165" fontId="12" fillId="3" borderId="7" xfId="0" applyNumberFormat="1" applyFont="1" applyFill="1" applyBorder="1" applyAlignment="1">
      <alignment horizontal="right" vertical="center"/>
    </xf>
    <xf numFmtId="165" fontId="12" fillId="8" borderId="7" xfId="0" applyNumberFormat="1" applyFont="1" applyFill="1" applyBorder="1" applyAlignment="1">
      <alignment horizontal="right" vertical="center"/>
    </xf>
    <xf numFmtId="166" fontId="12" fillId="3" borderId="7" xfId="0" applyNumberFormat="1" applyFont="1" applyFill="1" applyBorder="1" applyAlignment="1">
      <alignment horizontal="right" vertical="center"/>
    </xf>
    <xf numFmtId="167" fontId="12" fillId="8" borderId="7" xfId="0" applyNumberFormat="1" applyFont="1" applyFill="1" applyBorder="1" applyAlignment="1">
      <alignment horizontal="right" vertical="center"/>
    </xf>
    <xf numFmtId="165" fontId="8" fillId="3" borderId="7" xfId="0" applyNumberFormat="1" applyFont="1" applyFill="1" applyBorder="1" applyAlignment="1">
      <alignment horizontal="right" vertical="center"/>
    </xf>
    <xf numFmtId="167" fontId="12" fillId="3" borderId="7" xfId="0" applyNumberFormat="1" applyFont="1" applyFill="1" applyBorder="1" applyAlignment="1">
      <alignment horizontal="right" vertical="center"/>
    </xf>
    <xf numFmtId="165" fontId="8" fillId="8" borderId="7" xfId="0" applyNumberFormat="1" applyFont="1" applyFill="1" applyBorder="1" applyAlignment="1">
      <alignment horizontal="right" vertical="center"/>
    </xf>
    <xf numFmtId="167" fontId="8" fillId="3" borderId="7" xfId="0" applyNumberFormat="1" applyFont="1" applyFill="1" applyBorder="1" applyAlignment="1">
      <alignment horizontal="right" vertical="center"/>
    </xf>
    <xf numFmtId="164" fontId="8" fillId="8" borderId="7" xfId="0" applyNumberFormat="1" applyFont="1" applyFill="1" applyBorder="1" applyAlignment="1">
      <alignment horizontal="right" vertical="center"/>
    </xf>
    <xf numFmtId="166" fontId="8" fillId="3" borderId="7" xfId="0" applyNumberFormat="1" applyFont="1" applyFill="1" applyBorder="1" applyAlignment="1">
      <alignment horizontal="right" vertical="center"/>
    </xf>
    <xf numFmtId="0" fontId="11" fillId="3" borderId="7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0" fillId="7" borderId="6" xfId="0" applyFill="1" applyBorder="1"/>
    <xf numFmtId="0" fontId="3" fillId="2" borderId="4" xfId="0" applyFont="1" applyFill="1" applyBorder="1" applyAlignment="1">
      <alignment horizontal="right" vertical="center"/>
    </xf>
    <xf numFmtId="0" fontId="10" fillId="7" borderId="6" xfId="0" applyFont="1" applyFill="1" applyBorder="1"/>
    <xf numFmtId="165" fontId="14" fillId="8" borderId="7" xfId="0" applyNumberFormat="1" applyFont="1" applyFill="1" applyBorder="1" applyAlignment="1">
      <alignment horizontal="right" vertical="center"/>
    </xf>
    <xf numFmtId="0" fontId="13" fillId="8" borderId="7" xfId="0" applyFont="1" applyFill="1" applyBorder="1" applyAlignment="1">
      <alignment horizontal="left" vertical="center" wrapText="1"/>
    </xf>
    <xf numFmtId="166" fontId="14" fillId="3" borderId="7" xfId="0" applyNumberFormat="1" applyFont="1" applyFill="1" applyBorder="1" applyAlignment="1">
      <alignment horizontal="right" vertical="center"/>
    </xf>
    <xf numFmtId="0" fontId="13" fillId="3" borderId="7" xfId="0" applyFont="1" applyFill="1" applyBorder="1" applyAlignment="1">
      <alignment horizontal="left" vertical="center" wrapText="1"/>
    </xf>
    <xf numFmtId="165" fontId="14" fillId="3" borderId="7" xfId="0" applyNumberFormat="1" applyFont="1" applyFill="1" applyBorder="1" applyAlignment="1">
      <alignment horizontal="right" vertical="center"/>
    </xf>
    <xf numFmtId="166" fontId="14" fillId="8" borderId="7" xfId="0" applyNumberFormat="1" applyFont="1" applyFill="1" applyBorder="1" applyAlignment="1">
      <alignment horizontal="right" vertical="center"/>
    </xf>
    <xf numFmtId="0" fontId="11" fillId="3" borderId="7" xfId="0" applyFont="1" applyFill="1" applyBorder="1"/>
    <xf numFmtId="0" fontId="14" fillId="3" borderId="7" xfId="0" applyFont="1" applyFill="1" applyBorder="1" applyAlignment="1">
      <alignment horizontal="right" vertical="center"/>
    </xf>
    <xf numFmtId="0" fontId="13" fillId="3" borderId="7" xfId="0" applyFont="1" applyFill="1" applyBorder="1"/>
    <xf numFmtId="0" fontId="13" fillId="3" borderId="0" xfId="0" applyFont="1" applyFill="1"/>
    <xf numFmtId="0" fontId="14" fillId="8" borderId="7" xfId="0" applyFont="1" applyFill="1" applyBorder="1" applyAlignment="1">
      <alignment horizontal="right" vertical="center"/>
    </xf>
    <xf numFmtId="166" fontId="12" fillId="8" borderId="7" xfId="0" applyNumberFormat="1" applyFont="1" applyFill="1" applyBorder="1" applyAlignment="1">
      <alignment horizontal="right" vertical="center"/>
    </xf>
    <xf numFmtId="0" fontId="18" fillId="8" borderId="7" xfId="0" applyFont="1" applyFill="1" applyBorder="1" applyAlignment="1">
      <alignment horizontal="left" vertical="center" wrapText="1"/>
    </xf>
    <xf numFmtId="166" fontId="8" fillId="8" borderId="7" xfId="0" applyNumberFormat="1" applyFont="1" applyFill="1" applyBorder="1" applyAlignment="1">
      <alignment horizontal="right" vertical="center"/>
    </xf>
    <xf numFmtId="0" fontId="8" fillId="3" borderId="7" xfId="0" applyFont="1" applyFill="1" applyBorder="1" applyAlignment="1">
      <alignment horizontal="right" vertical="center"/>
    </xf>
    <xf numFmtId="0" fontId="13" fillId="7" borderId="6" xfId="0" applyFont="1" applyFill="1" applyBorder="1"/>
    <xf numFmtId="169" fontId="14" fillId="3" borderId="7" xfId="0" applyNumberFormat="1" applyFont="1" applyFill="1" applyBorder="1" applyAlignment="1">
      <alignment horizontal="right" vertical="center"/>
    </xf>
    <xf numFmtId="169" fontId="8" fillId="3" borderId="7" xfId="0" applyNumberFormat="1" applyFont="1" applyFill="1" applyBorder="1" applyAlignment="1">
      <alignment horizontal="right" vertical="center"/>
    </xf>
    <xf numFmtId="168" fontId="8" fillId="3" borderId="7" xfId="0" applyNumberFormat="1" applyFont="1" applyFill="1" applyBorder="1" applyAlignment="1">
      <alignment horizontal="righ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8" fillId="3" borderId="7" xfId="0" applyNumberFormat="1" applyFont="1" applyFill="1" applyBorder="1" applyAlignment="1">
      <alignment horizontal="right" vertical="center"/>
    </xf>
    <xf numFmtId="165" fontId="3" fillId="2" borderId="4" xfId="0" applyNumberFormat="1" applyFont="1" applyFill="1" applyBorder="1" applyAlignment="1">
      <alignment horizontal="right" vertical="center"/>
    </xf>
    <xf numFmtId="167" fontId="3" fillId="2" borderId="4" xfId="0" applyNumberFormat="1" applyFont="1" applyFill="1" applyBorder="1" applyAlignment="1">
      <alignment horizontal="righ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8" borderId="7" xfId="0" applyNumberFormat="1" applyFont="1" applyFill="1" applyBorder="1" applyAlignment="1">
      <alignment horizontal="right" vertical="center"/>
    </xf>
    <xf numFmtId="0" fontId="20" fillId="0" borderId="0" xfId="0" applyFont="1"/>
    <xf numFmtId="0" fontId="20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0" fillId="2" borderId="0" xfId="0" applyFill="1"/>
    <xf numFmtId="0" fontId="8" fillId="3" borderId="11" xfId="0" applyFont="1" applyFill="1" applyBorder="1" applyAlignment="1">
      <alignment horizontal="left" vertical="center"/>
    </xf>
    <xf numFmtId="0" fontId="23" fillId="3" borderId="11" xfId="0" applyFont="1" applyFill="1" applyBorder="1" applyAlignment="1">
      <alignment horizontal="center" vertical="center"/>
    </xf>
    <xf numFmtId="0" fontId="22" fillId="3" borderId="11" xfId="0" applyFont="1" applyFill="1" applyBorder="1" applyAlignment="1">
      <alignment horizontal="center" vertical="center"/>
    </xf>
    <xf numFmtId="174" fontId="8" fillId="3" borderId="11" xfId="0" applyNumberFormat="1" applyFont="1" applyFill="1" applyBorder="1" applyAlignment="1">
      <alignment horizontal="right" vertical="center"/>
    </xf>
    <xf numFmtId="164" fontId="8" fillId="3" borderId="11" xfId="0" applyNumberFormat="1" applyFont="1" applyFill="1" applyBorder="1" applyAlignment="1">
      <alignment horizontal="right" vertical="center"/>
    </xf>
    <xf numFmtId="171" fontId="8" fillId="3" borderId="11" xfId="0" applyNumberFormat="1" applyFont="1" applyFill="1" applyBorder="1" applyAlignment="1">
      <alignment horizontal="right" vertical="center"/>
    </xf>
    <xf numFmtId="175" fontId="8" fillId="3" borderId="11" xfId="0" applyNumberFormat="1" applyFont="1" applyFill="1" applyBorder="1" applyAlignment="1">
      <alignment horizontal="right" vertical="center"/>
    </xf>
    <xf numFmtId="0" fontId="8" fillId="4" borderId="11" xfId="0" applyFont="1" applyFill="1" applyBorder="1" applyAlignment="1">
      <alignment horizontal="left" vertical="center"/>
    </xf>
    <xf numFmtId="0" fontId="23" fillId="4" borderId="11" xfId="0" applyFont="1" applyFill="1" applyBorder="1" applyAlignment="1">
      <alignment horizontal="center" vertical="center"/>
    </xf>
    <xf numFmtId="0" fontId="22" fillId="4" borderId="11" xfId="0" applyFont="1" applyFill="1" applyBorder="1" applyAlignment="1">
      <alignment horizontal="center" vertical="center"/>
    </xf>
    <xf numFmtId="174" fontId="8" fillId="4" borderId="11" xfId="0" applyNumberFormat="1" applyFont="1" applyFill="1" applyBorder="1" applyAlignment="1">
      <alignment horizontal="right" vertical="center"/>
    </xf>
    <xf numFmtId="164" fontId="8" fillId="4" borderId="11" xfId="0" applyNumberFormat="1" applyFont="1" applyFill="1" applyBorder="1" applyAlignment="1">
      <alignment horizontal="right" vertical="center"/>
    </xf>
    <xf numFmtId="171" fontId="8" fillId="4" borderId="11" xfId="0" applyNumberFormat="1" applyFont="1" applyFill="1" applyBorder="1" applyAlignment="1">
      <alignment horizontal="right" vertical="center"/>
    </xf>
    <xf numFmtId="175" fontId="8" fillId="4" borderId="11" xfId="0" applyNumberFormat="1" applyFont="1" applyFill="1" applyBorder="1" applyAlignment="1">
      <alignment horizontal="right" vertical="center"/>
    </xf>
    <xf numFmtId="0" fontId="24" fillId="3" borderId="11" xfId="0" applyFont="1" applyFill="1" applyBorder="1" applyAlignment="1">
      <alignment horizontal="center" vertical="center"/>
    </xf>
    <xf numFmtId="0" fontId="24" fillId="4" borderId="11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left" vertical="center"/>
    </xf>
    <xf numFmtId="0" fontId="0" fillId="3" borderId="11" xfId="0" applyFill="1" applyBorder="1"/>
    <xf numFmtId="164" fontId="17" fillId="3" borderId="11" xfId="0" applyNumberFormat="1" applyFont="1" applyFill="1" applyBorder="1" applyAlignment="1">
      <alignment horizontal="right" vertical="center"/>
    </xf>
    <xf numFmtId="175" fontId="17" fillId="3" borderId="11" xfId="0" applyNumberFormat="1" applyFont="1" applyFill="1" applyBorder="1" applyAlignment="1">
      <alignment horizontal="right" vertical="center"/>
    </xf>
    <xf numFmtId="164" fontId="15" fillId="4" borderId="11" xfId="0" applyNumberFormat="1" applyFont="1" applyFill="1" applyBorder="1" applyAlignment="1">
      <alignment horizontal="right" vertical="center"/>
    </xf>
    <xf numFmtId="175" fontId="15" fillId="4" borderId="11" xfId="0" applyNumberFormat="1" applyFont="1" applyFill="1" applyBorder="1" applyAlignment="1">
      <alignment horizontal="right" vertical="center"/>
    </xf>
    <xf numFmtId="0" fontId="3" fillId="2" borderId="11" xfId="0" applyFont="1" applyFill="1" applyBorder="1" applyAlignment="1">
      <alignment horizontal="left" vertical="center"/>
    </xf>
    <xf numFmtId="0" fontId="0" fillId="2" borderId="11" xfId="0" applyFill="1" applyBorder="1"/>
    <xf numFmtId="177" fontId="3" fillId="2" borderId="11" xfId="0" applyNumberFormat="1" applyFont="1" applyFill="1" applyBorder="1" applyAlignment="1">
      <alignment horizontal="right" vertical="center"/>
    </xf>
    <xf numFmtId="178" fontId="3" fillId="2" borderId="11" xfId="0" applyNumberFormat="1" applyFont="1" applyFill="1" applyBorder="1" applyAlignment="1">
      <alignment horizontal="right" vertical="center"/>
    </xf>
    <xf numFmtId="0" fontId="0" fillId="6" borderId="11" xfId="0" applyFill="1" applyBorder="1"/>
    <xf numFmtId="0" fontId="19" fillId="0" borderId="0" xfId="0" applyFont="1"/>
    <xf numFmtId="0" fontId="25" fillId="2" borderId="11" xfId="0" applyFont="1" applyFill="1" applyBorder="1" applyAlignment="1">
      <alignment horizontal="left" vertical="center" wrapText="1"/>
    </xf>
    <xf numFmtId="0" fontId="25" fillId="2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left" vertical="top" wrapText="1"/>
    </xf>
    <xf numFmtId="0" fontId="26" fillId="3" borderId="11" xfId="0" applyFont="1" applyFill="1" applyBorder="1" applyAlignment="1">
      <alignment horizontal="left" vertical="top" wrapText="1"/>
    </xf>
    <xf numFmtId="175" fontId="15" fillId="3" borderId="11" xfId="0" applyNumberFormat="1" applyFont="1" applyFill="1" applyBorder="1" applyAlignment="1">
      <alignment horizontal="right" vertical="center"/>
    </xf>
    <xf numFmtId="164" fontId="15" fillId="3" borderId="11" xfId="0" applyNumberFormat="1" applyFont="1" applyFill="1" applyBorder="1" applyAlignment="1">
      <alignment horizontal="right" vertical="center"/>
    </xf>
    <xf numFmtId="0" fontId="22" fillId="3" borderId="11" xfId="0" applyFont="1" applyFill="1" applyBorder="1" applyAlignment="1">
      <alignment horizontal="center" vertical="top" wrapText="1"/>
    </xf>
    <xf numFmtId="0" fontId="22" fillId="3" borderId="11" xfId="0" applyFont="1" applyFill="1" applyBorder="1" applyAlignment="1">
      <alignment horizontal="left" vertical="top" wrapText="1"/>
    </xf>
    <xf numFmtId="0" fontId="27" fillId="3" borderId="11" xfId="0" applyFont="1" applyFill="1" applyBorder="1" applyAlignment="1">
      <alignment horizontal="left" vertical="top" wrapText="1"/>
    </xf>
    <xf numFmtId="0" fontId="21" fillId="4" borderId="11" xfId="0" applyFont="1" applyFill="1" applyBorder="1" applyAlignment="1">
      <alignment horizontal="left" vertical="top" wrapText="1"/>
    </xf>
    <xf numFmtId="0" fontId="26" fillId="4" borderId="11" xfId="0" applyFont="1" applyFill="1" applyBorder="1" applyAlignment="1">
      <alignment horizontal="left" vertical="top" wrapText="1"/>
    </xf>
    <xf numFmtId="0" fontId="22" fillId="4" borderId="11" xfId="0" applyFont="1" applyFill="1" applyBorder="1" applyAlignment="1">
      <alignment horizontal="center" vertical="top" wrapText="1"/>
    </xf>
    <xf numFmtId="0" fontId="22" fillId="4" borderId="11" xfId="0" applyFont="1" applyFill="1" applyBorder="1" applyAlignment="1">
      <alignment horizontal="left" vertical="top" wrapText="1"/>
    </xf>
    <xf numFmtId="0" fontId="28" fillId="4" borderId="11" xfId="0" applyFont="1" applyFill="1" applyBorder="1" applyAlignment="1">
      <alignment horizontal="left" vertical="top" wrapText="1"/>
    </xf>
    <xf numFmtId="0" fontId="27" fillId="4" borderId="11" xfId="0" applyFont="1" applyFill="1" applyBorder="1" applyAlignment="1">
      <alignment horizontal="left" vertical="top" wrapText="1"/>
    </xf>
    <xf numFmtId="0" fontId="3" fillId="9" borderId="11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left" vertical="top" wrapText="1"/>
    </xf>
    <xf numFmtId="0" fontId="29" fillId="3" borderId="11" xfId="0" applyFont="1" applyFill="1" applyBorder="1" applyAlignment="1">
      <alignment horizontal="left" vertical="top" wrapText="1"/>
    </xf>
    <xf numFmtId="0" fontId="6" fillId="6" borderId="11" xfId="0" applyFont="1" applyFill="1" applyBorder="1"/>
    <xf numFmtId="0" fontId="3" fillId="2" borderId="11" xfId="0" applyFont="1" applyFill="1" applyBorder="1"/>
    <xf numFmtId="0" fontId="25" fillId="2" borderId="11" xfId="0" applyFont="1" applyFill="1" applyBorder="1" applyAlignment="1">
      <alignment horizontal="left" vertical="center"/>
    </xf>
    <xf numFmtId="0" fontId="30" fillId="0" borderId="5" xfId="0" applyFont="1" applyBorder="1"/>
    <xf numFmtId="0" fontId="3" fillId="2" borderId="5" xfId="0" applyFont="1" applyFill="1" applyBorder="1" applyAlignment="1">
      <alignment horizontal="left" vertical="center"/>
    </xf>
    <xf numFmtId="49" fontId="30" fillId="2" borderId="5" xfId="0" applyNumberFormat="1" applyFont="1" applyFill="1" applyBorder="1" applyAlignment="1">
      <alignment horizontal="right" vertical="center"/>
    </xf>
    <xf numFmtId="0" fontId="30" fillId="2" borderId="5" xfId="0" applyFont="1" applyFill="1" applyBorder="1"/>
    <xf numFmtId="0" fontId="21" fillId="0" borderId="12" xfId="0" applyFont="1" applyBorder="1" applyAlignment="1">
      <alignment horizontal="left" vertical="center"/>
    </xf>
    <xf numFmtId="49" fontId="30" fillId="0" borderId="5" xfId="0" applyNumberFormat="1" applyFont="1" applyBorder="1" applyAlignment="1">
      <alignment horizontal="right" vertical="center"/>
    </xf>
    <xf numFmtId="0" fontId="31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horizontal="right" vertical="center"/>
    </xf>
    <xf numFmtId="0" fontId="20" fillId="0" borderId="5" xfId="0" applyFont="1" applyBorder="1" applyAlignment="1">
      <alignment horizontal="left" vertical="center" wrapText="1"/>
    </xf>
    <xf numFmtId="3" fontId="8" fillId="0" borderId="11" xfId="0" applyNumberFormat="1" applyFont="1" applyBorder="1" applyAlignment="1">
      <alignment horizontal="right" vertical="center"/>
    </xf>
    <xf numFmtId="0" fontId="30" fillId="0" borderId="5" xfId="0" applyFont="1" applyBorder="1" applyAlignment="1">
      <alignment horizontal="right" vertical="center"/>
    </xf>
    <xf numFmtId="0" fontId="30" fillId="0" borderId="5" xfId="0" applyFont="1" applyBorder="1" applyAlignment="1">
      <alignment horizontal="left" vertical="center"/>
    </xf>
    <xf numFmtId="171" fontId="30" fillId="0" borderId="5" xfId="0" applyNumberFormat="1" applyFont="1" applyBorder="1" applyAlignment="1">
      <alignment horizontal="right" vertical="center"/>
    </xf>
    <xf numFmtId="3" fontId="30" fillId="0" borderId="5" xfId="0" applyNumberFormat="1" applyFont="1" applyBorder="1" applyAlignment="1">
      <alignment horizontal="right" vertical="center"/>
    </xf>
    <xf numFmtId="172" fontId="30" fillId="0" borderId="5" xfId="0" applyNumberFormat="1" applyFont="1" applyBorder="1" applyAlignment="1">
      <alignment horizontal="right" vertical="center"/>
    </xf>
    <xf numFmtId="171" fontId="32" fillId="0" borderId="11" xfId="0" applyNumberFormat="1" applyFont="1" applyBorder="1" applyAlignment="1">
      <alignment horizontal="right" vertical="center"/>
    </xf>
    <xf numFmtId="172" fontId="20" fillId="0" borderId="5" xfId="0" applyNumberFormat="1" applyFont="1" applyBorder="1" applyAlignment="1">
      <alignment horizontal="left" vertical="center" wrapText="1"/>
    </xf>
    <xf numFmtId="9" fontId="32" fillId="0" borderId="11" xfId="0" applyNumberFormat="1" applyFont="1" applyBorder="1" applyAlignment="1">
      <alignment horizontal="right" vertical="center"/>
    </xf>
    <xf numFmtId="9" fontId="8" fillId="0" borderId="11" xfId="0" applyNumberFormat="1" applyFont="1" applyBorder="1" applyAlignment="1">
      <alignment horizontal="right" vertical="center"/>
    </xf>
    <xf numFmtId="0" fontId="20" fillId="0" borderId="5" xfId="0" applyFont="1" applyBorder="1" applyAlignment="1">
      <alignment horizontal="left" vertical="center"/>
    </xf>
    <xf numFmtId="3" fontId="32" fillId="0" borderId="11" xfId="0" applyNumberFormat="1" applyFont="1" applyBorder="1" applyAlignment="1">
      <alignment horizontal="right" vertical="center"/>
    </xf>
    <xf numFmtId="0" fontId="32" fillId="0" borderId="11" xfId="0" applyFont="1" applyBorder="1" applyAlignment="1">
      <alignment horizontal="right" vertical="center"/>
    </xf>
    <xf numFmtId="176" fontId="8" fillId="0" borderId="11" xfId="0" applyNumberFormat="1" applyFont="1" applyBorder="1" applyAlignment="1">
      <alignment horizontal="right" vertical="center"/>
    </xf>
    <xf numFmtId="0" fontId="33" fillId="2" borderId="11" xfId="0" applyFont="1" applyFill="1" applyBorder="1" applyAlignment="1">
      <alignment horizontal="center" vertical="center"/>
    </xf>
    <xf numFmtId="0" fontId="33" fillId="2" borderId="11" xfId="0" applyFont="1" applyFill="1" applyBorder="1" applyAlignment="1">
      <alignment horizontal="left" vertical="center"/>
    </xf>
    <xf numFmtId="174" fontId="9" fillId="2" borderId="11" xfId="0" applyNumberFormat="1" applyFont="1" applyFill="1" applyBorder="1" applyAlignment="1">
      <alignment horizontal="right" vertical="center"/>
    </xf>
    <xf numFmtId="174" fontId="3" fillId="2" borderId="11" xfId="0" applyNumberFormat="1" applyFont="1" applyFill="1" applyBorder="1" applyAlignment="1">
      <alignment horizontal="right" vertical="center"/>
    </xf>
    <xf numFmtId="0" fontId="22" fillId="3" borderId="11" xfId="0" applyFont="1" applyFill="1" applyBorder="1" applyAlignment="1">
      <alignment horizontal="left" vertical="center"/>
    </xf>
    <xf numFmtId="0" fontId="22" fillId="4" borderId="11" xfId="0" applyFont="1" applyFill="1" applyBorder="1" applyAlignment="1">
      <alignment horizontal="left" vertical="center"/>
    </xf>
    <xf numFmtId="175" fontId="6" fillId="6" borderId="11" xfId="0" applyNumberFormat="1" applyFont="1" applyFill="1" applyBorder="1" applyAlignment="1">
      <alignment horizontal="right" vertical="center"/>
    </xf>
    <xf numFmtId="0" fontId="17" fillId="4" borderId="11" xfId="0" applyFont="1" applyFill="1" applyBorder="1" applyAlignment="1">
      <alignment horizontal="left" vertical="center"/>
    </xf>
    <xf numFmtId="0" fontId="15" fillId="3" borderId="11" xfId="0" applyFont="1" applyFill="1" applyBorder="1" applyAlignment="1">
      <alignment horizontal="left" vertical="center"/>
    </xf>
    <xf numFmtId="164" fontId="16" fillId="3" borderId="7" xfId="0" applyNumberFormat="1" applyFont="1" applyFill="1" applyBorder="1" applyAlignment="1">
      <alignment horizontal="right" vertical="center"/>
    </xf>
    <xf numFmtId="175" fontId="16" fillId="3" borderId="7" xfId="0" applyNumberFormat="1" applyFont="1" applyFill="1" applyBorder="1" applyAlignment="1">
      <alignment horizontal="right" vertical="center"/>
    </xf>
    <xf numFmtId="164" fontId="16" fillId="8" borderId="7" xfId="0" applyNumberFormat="1" applyFont="1" applyFill="1" applyBorder="1" applyAlignment="1">
      <alignment horizontal="right" vertical="center"/>
    </xf>
    <xf numFmtId="175" fontId="16" fillId="8" borderId="7" xfId="0" applyNumberFormat="1" applyFont="1" applyFill="1" applyBorder="1" applyAlignment="1">
      <alignment horizontal="right" vertical="center"/>
    </xf>
    <xf numFmtId="164" fontId="17" fillId="4" borderId="11" xfId="0" applyNumberFormat="1" applyFont="1" applyFill="1" applyBorder="1" applyAlignment="1">
      <alignment horizontal="right" vertical="center"/>
    </xf>
    <xf numFmtId="175" fontId="17" fillId="4" borderId="11" xfId="0" applyNumberFormat="1" applyFont="1" applyFill="1" applyBorder="1" applyAlignment="1">
      <alignment horizontal="right" vertical="center"/>
    </xf>
    <xf numFmtId="172" fontId="17" fillId="4" borderId="11" xfId="0" applyNumberFormat="1" applyFont="1" applyFill="1" applyBorder="1" applyAlignment="1">
      <alignment horizontal="right" vertical="center"/>
    </xf>
    <xf numFmtId="172" fontId="15" fillId="3" borderId="11" xfId="0" applyNumberFormat="1" applyFont="1" applyFill="1" applyBorder="1" applyAlignment="1">
      <alignment horizontal="right" vertical="center"/>
    </xf>
    <xf numFmtId="181" fontId="5" fillId="3" borderId="11" xfId="0" applyNumberFormat="1" applyFont="1" applyFill="1" applyBorder="1" applyAlignment="1">
      <alignment horizontal="right" vertical="center"/>
    </xf>
    <xf numFmtId="181" fontId="5" fillId="4" borderId="11" xfId="0" applyNumberFormat="1" applyFont="1" applyFill="1" applyBorder="1" applyAlignment="1">
      <alignment horizontal="right" vertical="center"/>
    </xf>
    <xf numFmtId="181" fontId="17" fillId="3" borderId="11" xfId="0" applyNumberFormat="1" applyFont="1" applyFill="1" applyBorder="1" applyAlignment="1">
      <alignment horizontal="right" vertical="center"/>
    </xf>
    <xf numFmtId="181" fontId="6" fillId="6" borderId="11" xfId="0" applyNumberFormat="1" applyFont="1" applyFill="1" applyBorder="1" applyAlignment="1">
      <alignment horizontal="right" vertical="center"/>
    </xf>
    <xf numFmtId="182" fontId="34" fillId="2" borderId="11" xfId="0" applyNumberFormat="1" applyFont="1" applyFill="1" applyBorder="1" applyAlignment="1">
      <alignment horizontal="right" vertical="center"/>
    </xf>
    <xf numFmtId="0" fontId="35" fillId="0" borderId="15" xfId="0" applyFont="1" applyBorder="1" applyAlignment="1">
      <alignment horizontal="center" vertical="center" wrapText="1"/>
    </xf>
    <xf numFmtId="0" fontId="35" fillId="0" borderId="15" xfId="0" applyFont="1" applyBorder="1" applyAlignment="1">
      <alignment horizontal="left" vertical="center" wrapText="1"/>
    </xf>
    <xf numFmtId="169" fontId="36" fillId="0" borderId="15" xfId="0" applyNumberFormat="1" applyFont="1" applyBorder="1" applyAlignment="1">
      <alignment horizontal="right" vertical="center"/>
    </xf>
    <xf numFmtId="180" fontId="36" fillId="0" borderId="15" xfId="0" applyNumberFormat="1" applyFont="1" applyBorder="1" applyAlignment="1">
      <alignment horizontal="right" vertical="center"/>
    </xf>
    <xf numFmtId="0" fontId="36" fillId="0" borderId="15" xfId="0" applyFont="1" applyBorder="1" applyAlignment="1">
      <alignment horizontal="center" vertical="center" wrapText="1"/>
    </xf>
    <xf numFmtId="0" fontId="37" fillId="0" borderId="15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left" vertical="center" wrapText="1"/>
    </xf>
    <xf numFmtId="165" fontId="36" fillId="0" borderId="6" xfId="0" applyNumberFormat="1" applyFont="1" applyBorder="1" applyAlignment="1">
      <alignment horizontal="right" vertical="center"/>
    </xf>
    <xf numFmtId="180" fontId="36" fillId="0" borderId="6" xfId="0" applyNumberFormat="1" applyFont="1" applyBorder="1" applyAlignment="1">
      <alignment horizontal="right" vertical="center"/>
    </xf>
    <xf numFmtId="0" fontId="36" fillId="0" borderId="6" xfId="0" applyFont="1" applyBorder="1" applyAlignment="1">
      <alignment horizontal="center" vertical="center" wrapText="1"/>
    </xf>
    <xf numFmtId="0" fontId="37" fillId="0" borderId="6" xfId="0" applyFont="1" applyBorder="1" applyAlignment="1">
      <alignment horizontal="left" vertical="center" wrapText="1"/>
    </xf>
    <xf numFmtId="0" fontId="36" fillId="0" borderId="7" xfId="0" applyFont="1" applyBorder="1" applyAlignment="1">
      <alignment horizontal="center" vertical="center" wrapText="1"/>
    </xf>
    <xf numFmtId="0" fontId="36" fillId="0" borderId="7" xfId="0" applyFont="1" applyBorder="1" applyAlignment="1">
      <alignment horizontal="left" vertical="center" wrapText="1"/>
    </xf>
    <xf numFmtId="3" fontId="36" fillId="0" borderId="7" xfId="0" applyNumberFormat="1" applyFont="1" applyBorder="1" applyAlignment="1">
      <alignment horizontal="right" vertical="center"/>
    </xf>
    <xf numFmtId="180" fontId="36" fillId="0" borderId="7" xfId="0" applyNumberFormat="1" applyFont="1" applyBorder="1" applyAlignment="1">
      <alignment horizontal="right" vertical="center"/>
    </xf>
    <xf numFmtId="0" fontId="37" fillId="0" borderId="7" xfId="0" applyFont="1" applyBorder="1" applyAlignment="1">
      <alignment horizontal="left" vertical="center" wrapText="1"/>
    </xf>
    <xf numFmtId="165" fontId="36" fillId="0" borderId="7" xfId="0" applyNumberFormat="1" applyFont="1" applyBorder="1" applyAlignment="1">
      <alignment horizontal="right" vertical="center"/>
    </xf>
    <xf numFmtId="0" fontId="35" fillId="0" borderId="14" xfId="0" applyFont="1" applyBorder="1" applyAlignment="1">
      <alignment horizontal="center" vertical="center" wrapText="1"/>
    </xf>
    <xf numFmtId="0" fontId="35" fillId="0" borderId="14" xfId="0" applyFont="1" applyBorder="1" applyAlignment="1">
      <alignment horizontal="left" vertical="center" wrapText="1"/>
    </xf>
    <xf numFmtId="166" fontId="36" fillId="0" borderId="14" xfId="0" applyNumberFormat="1" applyFont="1" applyBorder="1" applyAlignment="1">
      <alignment horizontal="right" vertical="center"/>
    </xf>
    <xf numFmtId="183" fontId="36" fillId="0" borderId="14" xfId="0" applyNumberFormat="1" applyFont="1" applyBorder="1" applyAlignment="1">
      <alignment horizontal="right" vertical="center"/>
    </xf>
    <xf numFmtId="0" fontId="36" fillId="0" borderId="14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left" vertical="center" wrapText="1"/>
    </xf>
    <xf numFmtId="166" fontId="36" fillId="0" borderId="7" xfId="0" applyNumberFormat="1" applyFont="1" applyBorder="1" applyAlignment="1">
      <alignment horizontal="right" vertical="center"/>
    </xf>
    <xf numFmtId="183" fontId="36" fillId="0" borderId="7" xfId="0" applyNumberFormat="1" applyFont="1" applyBorder="1" applyAlignment="1">
      <alignment horizontal="right" vertical="center"/>
    </xf>
    <xf numFmtId="168" fontId="36" fillId="0" borderId="14" xfId="0" applyNumberFormat="1" applyFont="1" applyBorder="1" applyAlignment="1">
      <alignment horizontal="right" vertical="center"/>
    </xf>
    <xf numFmtId="165" fontId="36" fillId="0" borderId="14" xfId="0" applyNumberFormat="1" applyFont="1" applyBorder="1" applyAlignment="1">
      <alignment horizontal="right" vertical="center"/>
    </xf>
    <xf numFmtId="0" fontId="36" fillId="0" borderId="14" xfId="0" applyFont="1" applyBorder="1" applyAlignment="1">
      <alignment horizontal="right" vertical="center"/>
    </xf>
    <xf numFmtId="170" fontId="36" fillId="0" borderId="7" xfId="0" applyNumberFormat="1" applyFont="1" applyBorder="1" applyAlignment="1">
      <alignment horizontal="right" vertical="center"/>
    </xf>
    <xf numFmtId="0" fontId="36" fillId="0" borderId="7" xfId="0" applyFont="1" applyBorder="1" applyAlignment="1">
      <alignment horizontal="right" vertical="center"/>
    </xf>
    <xf numFmtId="180" fontId="36" fillId="0" borderId="14" xfId="0" applyNumberFormat="1" applyFont="1" applyBorder="1" applyAlignment="1">
      <alignment horizontal="right" vertical="center"/>
    </xf>
    <xf numFmtId="0" fontId="35" fillId="0" borderId="12" xfId="0" applyFont="1" applyBorder="1"/>
    <xf numFmtId="0" fontId="35" fillId="0" borderId="12" xfId="0" applyFont="1" applyBorder="1" applyAlignment="1">
      <alignment horizontal="left" vertical="center" wrapText="1"/>
    </xf>
    <xf numFmtId="0" fontId="5" fillId="10" borderId="11" xfId="0" applyFont="1" applyFill="1" applyBorder="1" applyAlignment="1">
      <alignment horizontal="left" vertical="center"/>
    </xf>
    <xf numFmtId="0" fontId="22" fillId="10" borderId="11" xfId="0" applyFont="1" applyFill="1" applyBorder="1" applyAlignment="1">
      <alignment horizontal="center" vertical="center"/>
    </xf>
    <xf numFmtId="0" fontId="22" fillId="10" borderId="11" xfId="0" applyFont="1" applyFill="1" applyBorder="1" applyAlignment="1">
      <alignment horizontal="left" vertical="center"/>
    </xf>
    <xf numFmtId="0" fontId="0" fillId="10" borderId="0" xfId="0" applyFill="1"/>
    <xf numFmtId="174" fontId="8" fillId="10" borderId="11" xfId="0" applyNumberFormat="1" applyFont="1" applyFill="1" applyBorder="1" applyAlignment="1">
      <alignment horizontal="right" vertical="center"/>
    </xf>
    <xf numFmtId="174" fontId="5" fillId="10" borderId="11" xfId="0" applyNumberFormat="1" applyFont="1" applyFill="1" applyBorder="1" applyAlignment="1">
      <alignment horizontal="right" vertical="center"/>
    </xf>
    <xf numFmtId="164" fontId="5" fillId="10" borderId="11" xfId="0" applyNumberFormat="1" applyFont="1" applyFill="1" applyBorder="1" applyAlignment="1">
      <alignment horizontal="right" vertical="center"/>
    </xf>
    <xf numFmtId="171" fontId="5" fillId="10" borderId="11" xfId="0" applyNumberFormat="1" applyFont="1" applyFill="1" applyBorder="1" applyAlignment="1">
      <alignment horizontal="right" vertical="center"/>
    </xf>
    <xf numFmtId="175" fontId="5" fillId="10" borderId="11" xfId="0" applyNumberFormat="1" applyFont="1" applyFill="1" applyBorder="1" applyAlignment="1">
      <alignment horizontal="right" vertical="center"/>
    </xf>
    <xf numFmtId="183" fontId="8" fillId="3" borderId="11" xfId="0" applyNumberFormat="1" applyFont="1" applyFill="1" applyBorder="1" applyAlignment="1">
      <alignment horizontal="right" vertical="center"/>
    </xf>
    <xf numFmtId="0" fontId="35" fillId="0" borderId="16" xfId="0" applyFont="1" applyBorder="1" applyAlignment="1">
      <alignment horizontal="left" vertical="center"/>
    </xf>
    <xf numFmtId="0" fontId="35" fillId="0" borderId="16" xfId="0" applyFont="1" applyBorder="1" applyAlignment="1">
      <alignment horizontal="center" vertical="center"/>
    </xf>
    <xf numFmtId="3" fontId="35" fillId="0" borderId="16" xfId="0" applyNumberFormat="1" applyFont="1" applyBorder="1" applyAlignment="1">
      <alignment horizontal="right" vertical="center"/>
    </xf>
    <xf numFmtId="164" fontId="35" fillId="0" borderId="16" xfId="0" applyNumberFormat="1" applyFont="1" applyBorder="1" applyAlignment="1">
      <alignment horizontal="right" vertical="center"/>
    </xf>
    <xf numFmtId="175" fontId="35" fillId="0" borderId="16" xfId="0" applyNumberFormat="1" applyFont="1" applyBorder="1" applyAlignment="1">
      <alignment horizontal="right" vertical="center"/>
    </xf>
    <xf numFmtId="0" fontId="35" fillId="0" borderId="16" xfId="0" applyFont="1" applyBorder="1"/>
    <xf numFmtId="171" fontId="35" fillId="0" borderId="16" xfId="0" applyNumberFormat="1" applyFont="1" applyBorder="1" applyAlignment="1">
      <alignment horizontal="right" vertical="center"/>
    </xf>
    <xf numFmtId="0" fontId="5" fillId="0" borderId="11" xfId="0" applyFont="1" applyBorder="1" applyAlignment="1">
      <alignment horizontal="left" vertical="center"/>
    </xf>
    <xf numFmtId="0" fontId="0" fillId="0" borderId="11" xfId="0" applyBorder="1"/>
    <xf numFmtId="164" fontId="5" fillId="0" borderId="11" xfId="0" applyNumberFormat="1" applyFont="1" applyBorder="1" applyAlignment="1">
      <alignment horizontal="right" vertical="center"/>
    </xf>
    <xf numFmtId="176" fontId="5" fillId="0" borderId="11" xfId="0" applyNumberFormat="1" applyFont="1" applyBorder="1" applyAlignment="1">
      <alignment horizontal="right" vertical="center"/>
    </xf>
    <xf numFmtId="175" fontId="5" fillId="0" borderId="11" xfId="0" applyNumberFormat="1" applyFont="1" applyBorder="1" applyAlignment="1">
      <alignment horizontal="right" vertical="center"/>
    </xf>
    <xf numFmtId="0" fontId="17" fillId="0" borderId="11" xfId="0" applyFont="1" applyBorder="1" applyAlignment="1">
      <alignment horizontal="left" vertical="center"/>
    </xf>
    <xf numFmtId="177" fontId="17" fillId="0" borderId="11" xfId="0" applyNumberFormat="1" applyFont="1" applyBorder="1" applyAlignment="1">
      <alignment horizontal="right" vertical="center"/>
    </xf>
    <xf numFmtId="178" fontId="17" fillId="0" borderId="11" xfId="0" applyNumberFormat="1" applyFont="1" applyBorder="1" applyAlignment="1">
      <alignment horizontal="right" vertical="center"/>
    </xf>
    <xf numFmtId="0" fontId="15" fillId="0" borderId="11" xfId="0" applyFont="1" applyBorder="1" applyAlignment="1">
      <alignment horizontal="left" vertical="center"/>
    </xf>
    <xf numFmtId="177" fontId="15" fillId="0" borderId="11" xfId="0" applyNumberFormat="1" applyFont="1" applyBorder="1" applyAlignment="1">
      <alignment horizontal="right" vertical="center"/>
    </xf>
    <xf numFmtId="178" fontId="15" fillId="0" borderId="11" xfId="0" applyNumberFormat="1" applyFont="1" applyBorder="1" applyAlignment="1">
      <alignment horizontal="right" vertical="center"/>
    </xf>
    <xf numFmtId="0" fontId="35" fillId="0" borderId="16" xfId="0" applyFont="1" applyBorder="1" applyAlignment="1">
      <alignment horizontal="right" vertical="center"/>
    </xf>
    <xf numFmtId="179" fontId="35" fillId="0" borderId="16" xfId="0" applyNumberFormat="1" applyFont="1" applyBorder="1" applyAlignment="1">
      <alignment horizontal="right" vertical="center"/>
    </xf>
    <xf numFmtId="0" fontId="38" fillId="0" borderId="0" xfId="0" applyFont="1" applyAlignment="1">
      <alignment horizontal="left" vertical="center" wrapText="1"/>
    </xf>
    <xf numFmtId="0" fontId="38" fillId="0" borderId="0" xfId="0" applyFont="1"/>
    <xf numFmtId="0" fontId="2" fillId="2" borderId="8" xfId="0" applyFont="1" applyFill="1" applyBorder="1" applyAlignment="1">
      <alignment horizontal="left" vertical="center"/>
    </xf>
    <xf numFmtId="0" fontId="0" fillId="0" borderId="9" xfId="0" applyBorder="1"/>
    <xf numFmtId="0" fontId="13" fillId="0" borderId="0" xfId="0" applyFont="1" applyAlignment="1">
      <alignment horizontal="center" vertical="center" wrapText="1"/>
    </xf>
    <xf numFmtId="0" fontId="0" fillId="0" borderId="0" xfId="0"/>
    <xf numFmtId="0" fontId="1" fillId="2" borderId="8" xfId="0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0" fillId="7" borderId="13" xfId="0" applyFont="1" applyFill="1" applyBorder="1" applyAlignment="1">
      <alignment horizontal="left" vertical="center" wrapText="1"/>
    </xf>
    <xf numFmtId="0" fontId="0" fillId="0" borderId="10" xfId="0" applyBorder="1"/>
    <xf numFmtId="0" fontId="10" fillId="7" borderId="13" xfId="0" applyFont="1" applyFill="1" applyBorder="1" applyAlignment="1">
      <alignment horizontal="left" vertical="center"/>
    </xf>
    <xf numFmtId="0" fontId="13" fillId="3" borderId="0" xfId="0" applyFont="1" applyFill="1" applyAlignment="1">
      <alignment horizontal="left" vertical="center" wrapText="1"/>
    </xf>
    <xf numFmtId="0" fontId="13" fillId="3" borderId="3" xfId="0" applyFont="1" applyFill="1" applyBorder="1" applyAlignment="1">
      <alignment horizontal="left" vertical="center" wrapText="1"/>
    </xf>
    <xf numFmtId="0" fontId="0" fillId="0" borderId="1" xfId="0" applyBorder="1"/>
    <xf numFmtId="0" fontId="4" fillId="0" borderId="0" xfId="0" applyFont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3">
    <dxf>
      <font>
        <b/>
        <color rgb="FFC00000"/>
      </font>
    </dxf>
    <dxf>
      <font>
        <b/>
        <color rgb="FF9C5700"/>
      </font>
    </dxf>
    <dxf>
      <font>
        <b/>
        <color rgb="FF375623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showGridLines="0" workbookViewId="0"/>
  </sheetViews>
  <sheetFormatPr defaultRowHeight="14.4" x14ac:dyDescent="0.3"/>
  <cols>
    <col min="1" max="1" width="1" customWidth="1"/>
    <col min="2" max="3" width="28" customWidth="1"/>
    <col min="4" max="4" width="35" customWidth="1"/>
    <col min="5" max="5" width="3" customWidth="1"/>
  </cols>
  <sheetData>
    <row r="1" spans="1:6" ht="10.050000000000001" customHeight="1" x14ac:dyDescent="0.3"/>
    <row r="2" spans="1:6" ht="22.05" customHeight="1" x14ac:dyDescent="0.3">
      <c r="B2" s="227" t="s">
        <v>0</v>
      </c>
      <c r="C2" s="224"/>
      <c r="D2" s="224"/>
    </row>
    <row r="3" spans="1:6" ht="19.95" customHeight="1" x14ac:dyDescent="0.3">
      <c r="B3" s="225" t="s">
        <v>1</v>
      </c>
      <c r="C3" s="226"/>
      <c r="D3" s="226"/>
    </row>
    <row r="4" spans="1:6" ht="12" customHeight="1" x14ac:dyDescent="0.3">
      <c r="A4" s="6"/>
      <c r="B4" s="6"/>
      <c r="C4" s="6"/>
      <c r="D4" s="6"/>
      <c r="E4" s="6"/>
    </row>
    <row r="5" spans="1:6" ht="18" customHeight="1" x14ac:dyDescent="0.3">
      <c r="B5" s="223" t="s">
        <v>2</v>
      </c>
      <c r="C5" s="224"/>
      <c r="D5" s="224"/>
    </row>
    <row r="6" spans="1:6" ht="18" customHeight="1" x14ac:dyDescent="0.3">
      <c r="B6" s="7" t="s">
        <v>3</v>
      </c>
      <c r="C6" s="7" t="s">
        <v>4</v>
      </c>
      <c r="D6" s="7" t="s">
        <v>5</v>
      </c>
    </row>
    <row r="7" spans="1:6" ht="15" customHeight="1" x14ac:dyDescent="0.3">
      <c r="B7" s="8" t="s">
        <v>6</v>
      </c>
      <c r="C7" s="9" t="s">
        <v>7</v>
      </c>
      <c r="D7" s="9" t="s">
        <v>8</v>
      </c>
    </row>
    <row r="8" spans="1:6" ht="15" customHeight="1" x14ac:dyDescent="0.3">
      <c r="B8" s="10" t="s">
        <v>9</v>
      </c>
      <c r="C8" s="11" t="s">
        <v>10</v>
      </c>
      <c r="D8" s="11" t="s">
        <v>11</v>
      </c>
    </row>
    <row r="9" spans="1:6" ht="15" customHeight="1" x14ac:dyDescent="0.3">
      <c r="B9" s="8" t="s">
        <v>12</v>
      </c>
      <c r="C9" s="9" t="s">
        <v>13</v>
      </c>
      <c r="D9" s="9" t="s">
        <v>14</v>
      </c>
    </row>
    <row r="10" spans="1:6" ht="15" customHeight="1" x14ac:dyDescent="0.3">
      <c r="B10" s="10" t="s">
        <v>15</v>
      </c>
      <c r="C10" s="11" t="s">
        <v>16</v>
      </c>
      <c r="D10" s="11" t="s">
        <v>17</v>
      </c>
    </row>
    <row r="11" spans="1:6" ht="15" customHeight="1" x14ac:dyDescent="0.3">
      <c r="B11" s="8" t="s">
        <v>18</v>
      </c>
      <c r="C11" s="9" t="s">
        <v>19</v>
      </c>
      <c r="D11" s="9" t="s">
        <v>20</v>
      </c>
    </row>
    <row r="12" spans="1:6" ht="15" customHeight="1" x14ac:dyDescent="0.3">
      <c r="B12" s="10" t="s">
        <v>21</v>
      </c>
      <c r="C12" s="11" t="s">
        <v>22</v>
      </c>
      <c r="D12" s="11" t="s">
        <v>23</v>
      </c>
    </row>
    <row r="13" spans="1:6" ht="15" customHeight="1" x14ac:dyDescent="0.3">
      <c r="B13" s="8" t="s">
        <v>24</v>
      </c>
      <c r="C13" s="9" t="s">
        <v>25</v>
      </c>
      <c r="D13" s="9" t="s">
        <v>26</v>
      </c>
    </row>
    <row r="14" spans="1:6" ht="12" customHeight="1" x14ac:dyDescent="0.3">
      <c r="A14" s="6"/>
      <c r="B14" s="6"/>
      <c r="C14" s="6"/>
      <c r="D14" s="6"/>
      <c r="E14" s="6"/>
      <c r="F14" s="6"/>
    </row>
    <row r="15" spans="1:6" ht="18" customHeight="1" x14ac:dyDescent="0.3">
      <c r="B15" s="223" t="s">
        <v>27</v>
      </c>
      <c r="C15" s="224"/>
      <c r="D15" s="224"/>
    </row>
    <row r="16" spans="1:6" ht="18" customHeight="1" x14ac:dyDescent="0.3">
      <c r="B16" s="7" t="s">
        <v>28</v>
      </c>
      <c r="C16" s="7" t="s">
        <v>29</v>
      </c>
      <c r="D16" s="7" t="s">
        <v>30</v>
      </c>
    </row>
    <row r="17" spans="1:7" ht="15" customHeight="1" x14ac:dyDescent="0.3">
      <c r="B17" s="8" t="s">
        <v>31</v>
      </c>
      <c r="C17" s="9" t="s">
        <v>32</v>
      </c>
      <c r="D17" s="9" t="s">
        <v>33</v>
      </c>
    </row>
    <row r="18" spans="1:7" ht="15" customHeight="1" x14ac:dyDescent="0.3">
      <c r="B18" s="10" t="s">
        <v>34</v>
      </c>
      <c r="C18" s="11" t="s">
        <v>35</v>
      </c>
      <c r="D18" s="11" t="s">
        <v>36</v>
      </c>
    </row>
    <row r="19" spans="1:7" ht="15" customHeight="1" x14ac:dyDescent="0.3">
      <c r="B19" s="8" t="s">
        <v>37</v>
      </c>
      <c r="C19" s="9" t="s">
        <v>38</v>
      </c>
      <c r="D19" s="9" t="s">
        <v>39</v>
      </c>
    </row>
    <row r="20" spans="1:7" ht="15" customHeight="1" x14ac:dyDescent="0.3">
      <c r="B20" s="10" t="s">
        <v>40</v>
      </c>
      <c r="C20" s="11" t="s">
        <v>41</v>
      </c>
      <c r="D20" s="11" t="s">
        <v>42</v>
      </c>
    </row>
    <row r="21" spans="1:7" ht="15" customHeight="1" x14ac:dyDescent="0.3">
      <c r="B21" s="8" t="s">
        <v>43</v>
      </c>
      <c r="C21" s="9" t="s">
        <v>44</v>
      </c>
      <c r="D21" s="9" t="s">
        <v>45</v>
      </c>
    </row>
    <row r="22" spans="1:7" ht="15" customHeight="1" x14ac:dyDescent="0.3">
      <c r="B22" s="10" t="s">
        <v>46</v>
      </c>
      <c r="C22" s="11" t="s">
        <v>47</v>
      </c>
      <c r="D22" s="11" t="s">
        <v>48</v>
      </c>
    </row>
    <row r="23" spans="1:7" ht="15" customHeight="1" x14ac:dyDescent="0.3">
      <c r="B23" s="8" t="s">
        <v>49</v>
      </c>
      <c r="C23" s="9" t="s">
        <v>50</v>
      </c>
      <c r="D23" s="9" t="s">
        <v>51</v>
      </c>
    </row>
    <row r="24" spans="1:7" ht="15" customHeight="1" x14ac:dyDescent="0.3">
      <c r="B24" s="10" t="s">
        <v>52</v>
      </c>
      <c r="C24" s="11" t="s">
        <v>53</v>
      </c>
      <c r="D24" s="11" t="s">
        <v>54</v>
      </c>
    </row>
    <row r="25" spans="1:7" ht="15" customHeight="1" x14ac:dyDescent="0.3">
      <c r="B25" s="8" t="s">
        <v>55</v>
      </c>
      <c r="C25" s="9" t="s">
        <v>56</v>
      </c>
      <c r="D25" s="9" t="s">
        <v>57</v>
      </c>
    </row>
    <row r="26" spans="1:7" ht="15" customHeight="1" x14ac:dyDescent="0.3">
      <c r="B26" s="10" t="s">
        <v>58</v>
      </c>
      <c r="C26" s="11" t="s">
        <v>59</v>
      </c>
      <c r="D26" s="11" t="s">
        <v>60</v>
      </c>
    </row>
    <row r="27" spans="1:7" ht="12" customHeight="1" x14ac:dyDescent="0.3">
      <c r="A27" s="6"/>
      <c r="B27" s="6"/>
      <c r="C27" s="6"/>
      <c r="D27" s="6"/>
      <c r="E27" s="6"/>
      <c r="F27" s="6"/>
      <c r="G27" s="6"/>
    </row>
    <row r="28" spans="1:7" ht="18" customHeight="1" x14ac:dyDescent="0.3">
      <c r="B28" s="223" t="s">
        <v>61</v>
      </c>
      <c r="C28" s="224"/>
      <c r="D28" s="224"/>
    </row>
    <row r="29" spans="1:7" ht="18" customHeight="1" x14ac:dyDescent="0.3">
      <c r="B29" s="7" t="s">
        <v>62</v>
      </c>
      <c r="C29" s="7" t="s">
        <v>63</v>
      </c>
      <c r="D29" s="7" t="s">
        <v>64</v>
      </c>
    </row>
    <row r="30" spans="1:7" ht="15" customHeight="1" x14ac:dyDescent="0.3">
      <c r="B30" s="9" t="s">
        <v>65</v>
      </c>
      <c r="C30" s="9" t="s">
        <v>65</v>
      </c>
      <c r="D30" s="9" t="s">
        <v>66</v>
      </c>
    </row>
    <row r="31" spans="1:7" ht="15" customHeight="1" x14ac:dyDescent="0.3">
      <c r="B31" s="11" t="s">
        <v>67</v>
      </c>
      <c r="C31" s="11" t="s">
        <v>67</v>
      </c>
      <c r="D31" s="11" t="s">
        <v>68</v>
      </c>
    </row>
    <row r="32" spans="1:7" ht="15" customHeight="1" x14ac:dyDescent="0.3">
      <c r="B32" s="9" t="s">
        <v>69</v>
      </c>
      <c r="C32" s="9" t="s">
        <v>69</v>
      </c>
      <c r="D32" s="9" t="s">
        <v>70</v>
      </c>
    </row>
    <row r="33" spans="2:4" ht="15" customHeight="1" x14ac:dyDescent="0.3">
      <c r="B33" s="11" t="s">
        <v>71</v>
      </c>
      <c r="C33" s="11" t="s">
        <v>71</v>
      </c>
      <c r="D33" s="11" t="s">
        <v>72</v>
      </c>
    </row>
    <row r="34" spans="2:4" ht="15" customHeight="1" x14ac:dyDescent="0.3">
      <c r="B34" s="9" t="s">
        <v>73</v>
      </c>
      <c r="C34" s="9" t="s">
        <v>73</v>
      </c>
      <c r="D34" s="9" t="s">
        <v>74</v>
      </c>
    </row>
    <row r="35" spans="2:4" ht="15" customHeight="1" x14ac:dyDescent="0.3">
      <c r="B35" s="11" t="s">
        <v>75</v>
      </c>
      <c r="C35" s="11" t="s">
        <v>75</v>
      </c>
      <c r="D35" s="11" t="s">
        <v>76</v>
      </c>
    </row>
  </sheetData>
  <mergeCells count="5">
    <mergeCell ref="B28:D28"/>
    <mergeCell ref="B3:D3"/>
    <mergeCell ref="B5:D5"/>
    <mergeCell ref="B15:D15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95"/>
  <sheetViews>
    <sheetView showGridLines="0" topLeftCell="A52" workbookViewId="0">
      <selection activeCell="C59" sqref="C59"/>
    </sheetView>
  </sheetViews>
  <sheetFormatPr defaultRowHeight="14.4" x14ac:dyDescent="0.3"/>
  <cols>
    <col min="1" max="1" width="1.44140625" customWidth="1"/>
    <col min="2" max="2" width="42" customWidth="1"/>
    <col min="3" max="3" width="16" customWidth="1"/>
    <col min="4" max="4" width="18" customWidth="1"/>
    <col min="5" max="5" width="42" customWidth="1"/>
    <col min="6" max="6" width="18" customWidth="1"/>
  </cols>
  <sheetData>
    <row r="2" spans="1:11" ht="22.05" customHeight="1" x14ac:dyDescent="0.3">
      <c r="B2" s="227" t="s">
        <v>77</v>
      </c>
      <c r="C2" s="224"/>
    </row>
    <row r="3" spans="1:11" ht="12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</row>
    <row r="4" spans="1:11" ht="18" customHeight="1" x14ac:dyDescent="0.3">
      <c r="B4" s="223" t="s">
        <v>78</v>
      </c>
      <c r="C4" s="224"/>
    </row>
    <row r="5" spans="1:11" ht="18" customHeight="1" x14ac:dyDescent="0.3">
      <c r="B5" s="7" t="s">
        <v>79</v>
      </c>
      <c r="C5" s="7" t="s">
        <v>29</v>
      </c>
    </row>
    <row r="6" spans="1:11" ht="15" customHeight="1" x14ac:dyDescent="0.3">
      <c r="B6" s="12" t="s">
        <v>80</v>
      </c>
      <c r="C6" s="13" t="s">
        <v>81</v>
      </c>
    </row>
    <row r="7" spans="1:11" ht="15" customHeight="1" x14ac:dyDescent="0.3">
      <c r="B7" s="14" t="s">
        <v>82</v>
      </c>
      <c r="C7" s="15" t="s">
        <v>83</v>
      </c>
    </row>
    <row r="8" spans="1:11" ht="15" customHeight="1" x14ac:dyDescent="0.3">
      <c r="B8" s="12" t="s">
        <v>84</v>
      </c>
      <c r="C8" s="13" t="s">
        <v>85</v>
      </c>
    </row>
    <row r="9" spans="1:11" ht="15" customHeight="1" x14ac:dyDescent="0.3">
      <c r="B9" s="14" t="s">
        <v>86</v>
      </c>
      <c r="C9" s="15" t="s">
        <v>87</v>
      </c>
    </row>
    <row r="10" spans="1:11" ht="15" customHeight="1" x14ac:dyDescent="0.3">
      <c r="B10" s="12" t="s">
        <v>88</v>
      </c>
      <c r="C10" s="16">
        <v>2026</v>
      </c>
    </row>
    <row r="11" spans="1:11" ht="15" customHeight="1" x14ac:dyDescent="0.3">
      <c r="B11" s="14" t="s">
        <v>89</v>
      </c>
      <c r="C11" s="17">
        <v>2028</v>
      </c>
    </row>
    <row r="12" spans="1:11" ht="12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ht="18" customHeight="1" x14ac:dyDescent="0.3">
      <c r="B13" s="223" t="s">
        <v>90</v>
      </c>
      <c r="C13" s="224"/>
    </row>
    <row r="14" spans="1:11" ht="18" customHeight="1" x14ac:dyDescent="0.3">
      <c r="B14" s="7" t="s">
        <v>91</v>
      </c>
      <c r="C14" s="7" t="s">
        <v>29</v>
      </c>
    </row>
    <row r="15" spans="1:11" ht="28.95" customHeight="1" x14ac:dyDescent="0.3">
      <c r="B15" s="12" t="s">
        <v>92</v>
      </c>
      <c r="C15" s="18">
        <v>14818</v>
      </c>
    </row>
    <row r="16" spans="1:11" ht="28.95" customHeight="1" x14ac:dyDescent="0.3">
      <c r="B16" s="14" t="s">
        <v>93</v>
      </c>
      <c r="C16" s="19">
        <v>2790</v>
      </c>
    </row>
    <row r="17" spans="1:13" ht="15" customHeight="1" x14ac:dyDescent="0.3">
      <c r="B17" s="12" t="s">
        <v>94</v>
      </c>
      <c r="C17" s="20">
        <v>0.188</v>
      </c>
    </row>
    <row r="18" spans="1:13" ht="28.95" customHeight="1" x14ac:dyDescent="0.3">
      <c r="B18" s="14" t="s">
        <v>95</v>
      </c>
      <c r="C18" s="21">
        <v>48.5</v>
      </c>
    </row>
    <row r="19" spans="1:13" ht="15" customHeight="1" x14ac:dyDescent="0.3">
      <c r="B19" s="12" t="s">
        <v>96</v>
      </c>
      <c r="C19" s="22">
        <f>C16*C18</f>
        <v>135315</v>
      </c>
    </row>
    <row r="20" spans="1:13" ht="28.95" customHeight="1" x14ac:dyDescent="0.3">
      <c r="B20" s="14" t="s">
        <v>97</v>
      </c>
      <c r="C20" s="19">
        <v>-6254</v>
      </c>
    </row>
    <row r="21" spans="1:13" ht="28.95" customHeight="1" x14ac:dyDescent="0.3">
      <c r="B21" s="12" t="s">
        <v>98</v>
      </c>
      <c r="C21" s="22">
        <f>C19-C20</f>
        <v>141569</v>
      </c>
    </row>
    <row r="22" spans="1:13" ht="12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3" ht="18" customHeight="1" x14ac:dyDescent="0.3">
      <c r="B23" s="223" t="s">
        <v>99</v>
      </c>
      <c r="C23" s="224"/>
    </row>
    <row r="24" spans="1:13" ht="18" customHeight="1" x14ac:dyDescent="0.3">
      <c r="B24" s="7" t="s">
        <v>28</v>
      </c>
      <c r="C24" s="7" t="s">
        <v>29</v>
      </c>
    </row>
    <row r="25" spans="1:13" ht="15" customHeight="1" x14ac:dyDescent="0.3">
      <c r="B25" s="12" t="s">
        <v>100</v>
      </c>
      <c r="C25" s="18">
        <v>22138</v>
      </c>
    </row>
    <row r="26" spans="1:13" ht="28.95" customHeight="1" x14ac:dyDescent="0.3">
      <c r="B26" s="14" t="s">
        <v>101</v>
      </c>
      <c r="C26" s="19">
        <v>4687</v>
      </c>
    </row>
    <row r="27" spans="1:13" ht="15" customHeight="1" x14ac:dyDescent="0.3">
      <c r="B27" s="12" t="s">
        <v>102</v>
      </c>
      <c r="C27" s="23">
        <v>45</v>
      </c>
    </row>
    <row r="28" spans="1:13" ht="15" customHeight="1" x14ac:dyDescent="0.3">
      <c r="B28" s="14" t="s">
        <v>103</v>
      </c>
      <c r="C28" s="24">
        <f>C26*C27</f>
        <v>210915</v>
      </c>
    </row>
    <row r="29" spans="1:13" ht="28.95" customHeight="1" x14ac:dyDescent="0.3">
      <c r="B29" s="12" t="s">
        <v>104</v>
      </c>
      <c r="C29" s="18">
        <v>-12369</v>
      </c>
    </row>
    <row r="30" spans="1:13" ht="28.95" customHeight="1" x14ac:dyDescent="0.3">
      <c r="B30" s="14" t="s">
        <v>105</v>
      </c>
      <c r="C30" s="24">
        <f>C28-C29</f>
        <v>223284</v>
      </c>
    </row>
    <row r="31" spans="1:13" ht="12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ht="18" customHeight="1" x14ac:dyDescent="0.3">
      <c r="B32" s="223" t="s">
        <v>106</v>
      </c>
      <c r="C32" s="224"/>
    </row>
    <row r="33" spans="1:19" ht="18" customHeight="1" x14ac:dyDescent="0.3">
      <c r="B33" s="7" t="s">
        <v>28</v>
      </c>
      <c r="C33" s="7" t="s">
        <v>29</v>
      </c>
    </row>
    <row r="34" spans="1:19" ht="15" customHeight="1" x14ac:dyDescent="0.3">
      <c r="B34" s="12" t="s">
        <v>107</v>
      </c>
      <c r="C34" s="25">
        <f>IFERROR(C30/C21,"-")</f>
        <v>1.5772096998636707</v>
      </c>
    </row>
    <row r="35" spans="1:19" ht="15" customHeight="1" x14ac:dyDescent="0.3">
      <c r="B35" s="14" t="s">
        <v>108</v>
      </c>
      <c r="C35" s="26">
        <f>IFERROR(C11-C10,"-")</f>
        <v>2</v>
      </c>
    </row>
    <row r="36" spans="1:19" ht="15" customHeight="1" x14ac:dyDescent="0.3">
      <c r="B36" s="12" t="s">
        <v>109</v>
      </c>
      <c r="C36" s="27">
        <f>IFERROR(POWER(C30/C21,1/(C11-C10))-1,"-")</f>
        <v>0.25587009673121464</v>
      </c>
    </row>
    <row r="37" spans="1:19" ht="12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9" ht="18" customHeight="1" x14ac:dyDescent="0.3">
      <c r="B38" s="223" t="s">
        <v>110</v>
      </c>
      <c r="C38" s="224"/>
    </row>
    <row r="39" spans="1:19" ht="40.950000000000003" customHeight="1" x14ac:dyDescent="0.3">
      <c r="B39" s="228" t="s">
        <v>111</v>
      </c>
      <c r="C39" s="226"/>
    </row>
    <row r="40" spans="1:19" ht="18" customHeight="1" x14ac:dyDescent="0.3">
      <c r="B40" s="7" t="s">
        <v>112</v>
      </c>
      <c r="C40" s="7" t="s">
        <v>113</v>
      </c>
    </row>
    <row r="41" spans="1:19" ht="15" customHeight="1" x14ac:dyDescent="0.3">
      <c r="B41" s="28" t="s">
        <v>114</v>
      </c>
      <c r="C41" s="13" t="s">
        <v>115</v>
      </c>
    </row>
    <row r="42" spans="1:19" ht="15" customHeight="1" x14ac:dyDescent="0.3">
      <c r="B42" s="29" t="s">
        <v>116</v>
      </c>
      <c r="C42" s="15" t="s">
        <v>117</v>
      </c>
    </row>
    <row r="43" spans="1:19" ht="15" customHeight="1" x14ac:dyDescent="0.3">
      <c r="B43" s="28" t="s">
        <v>118</v>
      </c>
      <c r="C43" s="13" t="s">
        <v>119</v>
      </c>
    </row>
    <row r="44" spans="1:19" ht="15" customHeight="1" x14ac:dyDescent="0.3">
      <c r="B44" s="29" t="s">
        <v>120</v>
      </c>
      <c r="C44" s="15" t="s">
        <v>121</v>
      </c>
    </row>
    <row r="45" spans="1:19" ht="28.05" customHeight="1" x14ac:dyDescent="0.3">
      <c r="B45" s="28" t="s">
        <v>122</v>
      </c>
      <c r="C45" s="13" t="s">
        <v>123</v>
      </c>
    </row>
    <row r="46" spans="1:19" ht="13.95" customHeight="1" x14ac:dyDescent="0.3">
      <c r="A46" s="112"/>
      <c r="B46" s="113" t="s">
        <v>124</v>
      </c>
      <c r="C46" s="114"/>
      <c r="D46" s="115"/>
      <c r="E46" s="115"/>
      <c r="F46" s="115"/>
      <c r="G46" s="115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</row>
    <row r="47" spans="1:19" ht="12" customHeight="1" x14ac:dyDescent="0.3">
      <c r="A47" s="112"/>
      <c r="B47" s="116" t="s">
        <v>125</v>
      </c>
      <c r="C47" s="117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</row>
    <row r="48" spans="1:19" ht="28.95" customHeight="1" x14ac:dyDescent="0.3">
      <c r="A48" s="112"/>
      <c r="B48" s="118" t="s">
        <v>126</v>
      </c>
      <c r="C48" s="119">
        <f>'FINANCIAL MODEL'!G41</f>
        <v>477.8</v>
      </c>
      <c r="D48" s="112"/>
      <c r="E48" s="120" t="s">
        <v>127</v>
      </c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</row>
    <row r="49" spans="1:19" ht="13.95" customHeight="1" x14ac:dyDescent="0.3">
      <c r="A49" s="112"/>
      <c r="B49" s="118" t="s">
        <v>128</v>
      </c>
      <c r="C49" s="119">
        <f>'FINANCIAL MODEL'!I41</f>
        <v>699.6</v>
      </c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</row>
    <row r="50" spans="1:19" ht="28.95" customHeight="1" x14ac:dyDescent="0.3">
      <c r="A50" s="112"/>
      <c r="B50" s="118" t="s">
        <v>129</v>
      </c>
      <c r="C50" s="119">
        <f>'FINANCIAL MODEL'!G43*10000</f>
        <v>241</v>
      </c>
      <c r="D50" s="112"/>
      <c r="E50" s="120" t="s">
        <v>130</v>
      </c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</row>
    <row r="51" spans="1:19" ht="13.95" customHeight="1" x14ac:dyDescent="0.3">
      <c r="A51" s="112"/>
      <c r="B51" s="118" t="s">
        <v>131</v>
      </c>
      <c r="C51" s="119">
        <f>'FINANCIAL MODEL'!I43*10000</f>
        <v>259</v>
      </c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</row>
    <row r="52" spans="1:19" ht="28.95" customHeight="1" x14ac:dyDescent="0.3">
      <c r="A52" s="112"/>
      <c r="B52" s="118" t="s">
        <v>132</v>
      </c>
      <c r="C52" s="119">
        <f>'FINANCIAL MODEL'!G42</f>
        <v>0.71</v>
      </c>
      <c r="D52" s="112"/>
      <c r="E52" s="120" t="s">
        <v>133</v>
      </c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</row>
    <row r="53" spans="1:19" ht="13.95" customHeight="1" x14ac:dyDescent="0.3">
      <c r="A53" s="112"/>
      <c r="B53" s="118" t="s">
        <v>134</v>
      </c>
      <c r="C53" s="119">
        <f>'FINANCIAL MODEL'!I42</f>
        <v>0.79</v>
      </c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</row>
    <row r="54" spans="1:19" ht="13.95" customHeight="1" x14ac:dyDescent="0.3">
      <c r="A54" s="112"/>
      <c r="B54" s="118" t="s">
        <v>135</v>
      </c>
      <c r="C54" s="121">
        <f>'FINANCIAL MODEL'!G44</f>
        <v>239</v>
      </c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</row>
    <row r="55" spans="1:19" ht="13.95" customHeight="1" x14ac:dyDescent="0.3">
      <c r="A55" s="112"/>
      <c r="B55" s="118" t="s">
        <v>136</v>
      </c>
      <c r="C55" s="121">
        <f>'FINANCIAL MODEL'!I44</f>
        <v>291</v>
      </c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</row>
    <row r="56" spans="1:19" ht="28.95" customHeight="1" x14ac:dyDescent="0.3">
      <c r="A56" s="112"/>
      <c r="B56" s="118" t="s">
        <v>137</v>
      </c>
      <c r="C56" s="121">
        <f>'FINANCIAL MODEL'!G41*'FINANCIAL MODEL'!G43*1000</f>
        <v>11514.98</v>
      </c>
      <c r="D56" s="112"/>
      <c r="E56" s="120" t="s">
        <v>138</v>
      </c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</row>
    <row r="57" spans="1:19" ht="13.95" customHeight="1" x14ac:dyDescent="0.3">
      <c r="A57" s="112"/>
      <c r="B57" s="118" t="s">
        <v>139</v>
      </c>
      <c r="C57" s="121">
        <f>'FINANCIAL MODEL'!I41*'FINANCIAL MODEL'!I43*1000</f>
        <v>18119.64</v>
      </c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</row>
    <row r="58" spans="1:19" ht="13.95" customHeight="1" x14ac:dyDescent="0.3">
      <c r="A58" s="112"/>
      <c r="B58" s="118" t="s">
        <v>140</v>
      </c>
      <c r="C58" s="121">
        <f>'FINANCIAL MODEL'!G17</f>
        <v>14814.791999999999</v>
      </c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</row>
    <row r="59" spans="1:19" ht="13.95" customHeight="1" x14ac:dyDescent="0.3">
      <c r="A59" s="112"/>
      <c r="B59" s="118" t="s">
        <v>141</v>
      </c>
      <c r="C59" s="121">
        <f>'FINANCIAL MODEL'!I17</f>
        <v>22121.210377727995</v>
      </c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</row>
    <row r="60" spans="1:19" ht="13.95" customHeight="1" x14ac:dyDescent="0.3">
      <c r="A60" s="112"/>
      <c r="B60" s="118" t="s">
        <v>142</v>
      </c>
      <c r="C60" s="119">
        <f>C58-C56</f>
        <v>3299.8119999999999</v>
      </c>
      <c r="D60" s="112"/>
      <c r="E60" s="120" t="s">
        <v>143</v>
      </c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</row>
    <row r="61" spans="1:19" ht="13.95" customHeight="1" x14ac:dyDescent="0.3">
      <c r="A61" s="112"/>
      <c r="B61" s="118" t="s">
        <v>144</v>
      </c>
      <c r="C61" s="119">
        <f>C59-C57</f>
        <v>4001.5703777279959</v>
      </c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</row>
    <row r="62" spans="1:19" ht="28.95" customHeight="1" x14ac:dyDescent="0.3">
      <c r="A62" s="112"/>
      <c r="B62" s="118" t="s">
        <v>145</v>
      </c>
      <c r="C62" s="119">
        <f>'FINANCIAL MODEL'!F41</f>
        <v>378.4</v>
      </c>
      <c r="D62" s="122"/>
      <c r="E62" s="120" t="s">
        <v>146</v>
      </c>
      <c r="F62" s="12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</row>
    <row r="63" spans="1:19" ht="6" customHeight="1" x14ac:dyDescent="0.3">
      <c r="A63" s="112"/>
      <c r="B63" s="123"/>
      <c r="C63" s="124"/>
      <c r="D63" s="125"/>
      <c r="E63" s="126"/>
      <c r="F63" s="125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</row>
    <row r="64" spans="1:19" ht="12" customHeight="1" x14ac:dyDescent="0.3">
      <c r="A64" s="112"/>
      <c r="B64" s="116" t="s">
        <v>147</v>
      </c>
      <c r="C64" s="124"/>
      <c r="D64" s="125"/>
      <c r="E64" s="126"/>
      <c r="F64" s="125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</row>
    <row r="65" spans="1:19" ht="40.950000000000003" customHeight="1" x14ac:dyDescent="0.3">
      <c r="A65" s="112"/>
      <c r="B65" s="118" t="s">
        <v>148</v>
      </c>
      <c r="C65" s="127">
        <v>67</v>
      </c>
      <c r="D65" s="125"/>
      <c r="E65" s="128" t="s">
        <v>149</v>
      </c>
      <c r="F65" s="125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</row>
    <row r="66" spans="1:19" ht="6" customHeight="1" x14ac:dyDescent="0.3">
      <c r="A66" s="112"/>
      <c r="B66" s="123"/>
      <c r="C66" s="124"/>
      <c r="D66" s="125"/>
      <c r="E66" s="126"/>
      <c r="F66" s="125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</row>
    <row r="67" spans="1:19" ht="12" customHeight="1" x14ac:dyDescent="0.3">
      <c r="A67" s="112"/>
      <c r="B67" s="116" t="s">
        <v>150</v>
      </c>
      <c r="C67" s="124"/>
      <c r="D67" s="125"/>
      <c r="E67" s="126"/>
      <c r="F67" s="125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</row>
    <row r="68" spans="1:19" ht="28.95" customHeight="1" x14ac:dyDescent="0.3">
      <c r="A68" s="112"/>
      <c r="B68" s="118" t="s">
        <v>151</v>
      </c>
      <c r="C68" s="129">
        <v>0.4</v>
      </c>
      <c r="D68" s="125"/>
      <c r="E68" s="128" t="s">
        <v>152</v>
      </c>
      <c r="F68" s="125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</row>
    <row r="69" spans="1:19" ht="13.95" customHeight="1" x14ac:dyDescent="0.3">
      <c r="A69" s="112"/>
      <c r="B69" s="118" t="s">
        <v>153</v>
      </c>
      <c r="C69" s="129">
        <v>0.3</v>
      </c>
      <c r="D69" s="125"/>
      <c r="E69" s="128" t="s">
        <v>154</v>
      </c>
      <c r="F69" s="125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</row>
    <row r="70" spans="1:19" ht="28.95" customHeight="1" x14ac:dyDescent="0.3">
      <c r="A70" s="112"/>
      <c r="B70" s="118" t="s">
        <v>155</v>
      </c>
      <c r="C70" s="129">
        <v>0.2</v>
      </c>
      <c r="D70" s="125"/>
      <c r="E70" s="128" t="s">
        <v>156</v>
      </c>
      <c r="F70" s="125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</row>
    <row r="71" spans="1:19" ht="13.95" customHeight="1" x14ac:dyDescent="0.3">
      <c r="A71" s="112"/>
      <c r="B71" s="118" t="s">
        <v>157</v>
      </c>
      <c r="C71" s="129">
        <v>0.1</v>
      </c>
      <c r="D71" s="112"/>
      <c r="E71" s="120" t="s">
        <v>158</v>
      </c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</row>
    <row r="72" spans="1:19" ht="28.95" customHeight="1" x14ac:dyDescent="0.3">
      <c r="A72" s="112"/>
      <c r="B72" s="118" t="s">
        <v>159</v>
      </c>
      <c r="C72" s="130">
        <f>C68+C69+C70+C71</f>
        <v>0.99999999999999989</v>
      </c>
      <c r="D72" s="112"/>
      <c r="E72" s="120" t="s">
        <v>160</v>
      </c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</row>
    <row r="73" spans="1:19" ht="6" customHeight="1" x14ac:dyDescent="0.3">
      <c r="A73" s="112"/>
      <c r="B73" s="123"/>
      <c r="C73" s="122"/>
      <c r="D73" s="122"/>
      <c r="E73" s="122"/>
      <c r="F73" s="12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</row>
    <row r="74" spans="1:19" ht="12" customHeight="1" x14ac:dyDescent="0.3">
      <c r="A74" s="112"/>
      <c r="B74" s="116" t="s">
        <v>161</v>
      </c>
      <c r="C74" s="125"/>
      <c r="D74" s="125"/>
      <c r="E74" s="126"/>
      <c r="F74" s="125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</row>
    <row r="75" spans="1:19" ht="40.950000000000003" customHeight="1" x14ac:dyDescent="0.3">
      <c r="A75" s="112"/>
      <c r="B75" s="118" t="s">
        <v>162</v>
      </c>
      <c r="C75" s="127">
        <v>0.214</v>
      </c>
      <c r="D75" s="125"/>
      <c r="E75" s="128" t="s">
        <v>163</v>
      </c>
      <c r="F75" s="125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</row>
    <row r="76" spans="1:19" ht="28.95" customHeight="1" x14ac:dyDescent="0.3">
      <c r="A76" s="112"/>
      <c r="B76" s="118" t="s">
        <v>164</v>
      </c>
      <c r="C76" s="127">
        <v>0.67600000000000005</v>
      </c>
      <c r="D76" s="112"/>
      <c r="E76" s="120" t="s">
        <v>165</v>
      </c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</row>
    <row r="77" spans="1:19" ht="10.95" customHeight="1" x14ac:dyDescent="0.3">
      <c r="A77" s="112"/>
      <c r="B77" s="131" t="s">
        <v>166</v>
      </c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</row>
    <row r="78" spans="1:19" ht="6" customHeight="1" x14ac:dyDescent="0.3">
      <c r="A78" s="112"/>
      <c r="B78" s="123"/>
      <c r="C78" s="122"/>
      <c r="D78" s="122"/>
      <c r="E78" s="122"/>
      <c r="F78" s="12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</row>
    <row r="79" spans="1:19" ht="12" customHeight="1" x14ac:dyDescent="0.3">
      <c r="A79" s="112"/>
      <c r="B79" s="116" t="s">
        <v>167</v>
      </c>
      <c r="C79" s="112"/>
      <c r="D79" s="125"/>
      <c r="E79" s="112"/>
      <c r="F79" s="125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</row>
    <row r="80" spans="1:19" ht="13.95" customHeight="1" x14ac:dyDescent="0.3">
      <c r="A80" s="112"/>
      <c r="B80" s="118" t="s">
        <v>168</v>
      </c>
      <c r="C80" s="132">
        <v>69.7</v>
      </c>
      <c r="D80" s="125"/>
      <c r="E80" s="120" t="s">
        <v>169</v>
      </c>
      <c r="F80" s="125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</row>
    <row r="81" spans="1:19" ht="13.95" customHeight="1" x14ac:dyDescent="0.3">
      <c r="A81" s="112"/>
      <c r="B81" s="118" t="s">
        <v>170</v>
      </c>
      <c r="C81" s="133">
        <v>83.6</v>
      </c>
      <c r="D81" s="125"/>
      <c r="E81" s="120" t="s">
        <v>171</v>
      </c>
      <c r="F81" s="125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</row>
    <row r="82" spans="1:19" ht="13.95" customHeight="1" x14ac:dyDescent="0.3">
      <c r="A82" s="112"/>
      <c r="B82" s="118" t="s">
        <v>172</v>
      </c>
      <c r="C82" s="133">
        <v>114.5</v>
      </c>
      <c r="D82" s="125"/>
      <c r="E82" s="120" t="s">
        <v>173</v>
      </c>
      <c r="F82" s="125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</row>
    <row r="83" spans="1:19" ht="13.95" customHeight="1" x14ac:dyDescent="0.3">
      <c r="A83" s="112"/>
      <c r="B83" s="118" t="s">
        <v>174</v>
      </c>
      <c r="C83" s="133">
        <v>135.30000000000001</v>
      </c>
      <c r="D83" s="112"/>
      <c r="E83" s="120" t="s">
        <v>175</v>
      </c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</row>
    <row r="84" spans="1:19" ht="13.95" customHeight="1" x14ac:dyDescent="0.3">
      <c r="A84" s="112"/>
      <c r="B84" s="118" t="s">
        <v>176</v>
      </c>
      <c r="C84" s="133">
        <v>155.6</v>
      </c>
      <c r="D84" s="112"/>
      <c r="E84" s="120" t="s">
        <v>177</v>
      </c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</row>
    <row r="85" spans="1:19" ht="13.95" customHeight="1" x14ac:dyDescent="0.3">
      <c r="A85" s="112"/>
      <c r="B85" s="118" t="s">
        <v>178</v>
      </c>
      <c r="C85" s="133">
        <v>176.4</v>
      </c>
      <c r="D85" s="123"/>
      <c r="E85" s="120" t="s">
        <v>179</v>
      </c>
      <c r="F85" s="123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</row>
    <row r="86" spans="1:19" ht="40.950000000000003" customHeight="1" x14ac:dyDescent="0.3">
      <c r="A86" s="112"/>
      <c r="B86" s="118" t="s">
        <v>180</v>
      </c>
      <c r="C86" s="134">
        <f>C60/C54</f>
        <v>13.806744769874477</v>
      </c>
      <c r="D86" s="125"/>
      <c r="E86" s="120" t="s">
        <v>181</v>
      </c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</row>
    <row r="87" spans="1:19" ht="15" customHeight="1" x14ac:dyDescent="0.3">
      <c r="A87" s="112"/>
      <c r="B87" s="123"/>
      <c r="C87" s="112"/>
      <c r="D87" s="125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</row>
    <row r="88" spans="1:19" ht="15" customHeight="1" x14ac:dyDescent="0.3">
      <c r="A88" s="112"/>
      <c r="B88" s="123"/>
      <c r="C88" s="112"/>
      <c r="D88" s="125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</row>
    <row r="89" spans="1:19" x14ac:dyDescent="0.3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</row>
    <row r="90" spans="1:19" x14ac:dyDescent="0.3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</row>
    <row r="91" spans="1:19" x14ac:dyDescent="0.3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</row>
    <row r="92" spans="1:19" x14ac:dyDescent="0.3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</row>
    <row r="93" spans="1:19" x14ac:dyDescent="0.3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</row>
    <row r="94" spans="1:19" x14ac:dyDescent="0.3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</row>
    <row r="95" spans="1:19" x14ac:dyDescent="0.3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</row>
  </sheetData>
  <mergeCells count="7">
    <mergeCell ref="B13:C13"/>
    <mergeCell ref="B39:C39"/>
    <mergeCell ref="B38:C38"/>
    <mergeCell ref="B2:C2"/>
    <mergeCell ref="B23:C23"/>
    <mergeCell ref="B32:C32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35"/>
  <sheetViews>
    <sheetView showGridLines="0" topLeftCell="A25" workbookViewId="0">
      <selection activeCell="A25" sqref="A25"/>
    </sheetView>
  </sheetViews>
  <sheetFormatPr defaultRowHeight="14.4" x14ac:dyDescent="0.3"/>
  <cols>
    <col min="1" max="1" width="1" customWidth="1"/>
    <col min="2" max="2" width="32" customWidth="1"/>
    <col min="3" max="6" width="12" customWidth="1"/>
    <col min="7" max="7" width="42" customWidth="1"/>
  </cols>
  <sheetData>
    <row r="2" spans="1:9" ht="22.05" customHeight="1" x14ac:dyDescent="0.3">
      <c r="B2" s="227" t="s">
        <v>182</v>
      </c>
      <c r="C2" s="224"/>
      <c r="D2" s="224"/>
      <c r="E2" s="224"/>
      <c r="F2" s="224"/>
      <c r="G2" s="5"/>
    </row>
    <row r="3" spans="1:9" ht="12" customHeight="1" x14ac:dyDescent="0.3">
      <c r="A3" s="6"/>
      <c r="B3" s="6"/>
      <c r="C3" s="6"/>
      <c r="D3" s="6"/>
      <c r="E3" s="6"/>
      <c r="F3" s="6"/>
      <c r="G3" s="6"/>
      <c r="H3" s="6"/>
    </row>
    <row r="4" spans="1:9" ht="79.05" customHeight="1" x14ac:dyDescent="0.3">
      <c r="B4" s="228" t="s">
        <v>183</v>
      </c>
      <c r="C4" s="226"/>
      <c r="D4" s="226"/>
      <c r="E4" s="226"/>
      <c r="F4" s="226"/>
    </row>
    <row r="5" spans="1:9" ht="12" customHeight="1" x14ac:dyDescent="0.3">
      <c r="A5" s="6"/>
      <c r="B5" s="6"/>
      <c r="C5" s="6"/>
      <c r="D5" s="6"/>
      <c r="E5" s="6"/>
      <c r="F5" s="6"/>
      <c r="G5" s="6"/>
      <c r="H5" s="6"/>
      <c r="I5" s="6"/>
    </row>
    <row r="6" spans="1:9" ht="18" customHeight="1" x14ac:dyDescent="0.3">
      <c r="B6" s="7" t="s">
        <v>184</v>
      </c>
      <c r="C6" s="31" t="s">
        <v>185</v>
      </c>
      <c r="D6" s="31" t="s">
        <v>186</v>
      </c>
      <c r="E6" s="31" t="s">
        <v>187</v>
      </c>
      <c r="F6" s="31" t="s">
        <v>188</v>
      </c>
      <c r="G6" s="31" t="s">
        <v>189</v>
      </c>
    </row>
    <row r="7" spans="1:9" ht="15" customHeight="1" x14ac:dyDescent="0.3">
      <c r="B7" s="229" t="s">
        <v>190</v>
      </c>
      <c r="C7" s="230"/>
      <c r="D7" s="230"/>
      <c r="E7" s="230"/>
      <c r="F7" s="230"/>
      <c r="G7" s="32"/>
    </row>
    <row r="8" spans="1:9" ht="28.95" customHeight="1" x14ac:dyDescent="0.3">
      <c r="B8" s="14" t="s">
        <v>191</v>
      </c>
      <c r="C8" s="33">
        <v>5600</v>
      </c>
      <c r="D8" s="33">
        <v>7060</v>
      </c>
      <c r="E8" s="33">
        <v>8880</v>
      </c>
      <c r="F8" s="33">
        <v>11556</v>
      </c>
      <c r="G8" s="34" t="s">
        <v>192</v>
      </c>
    </row>
    <row r="9" spans="1:9" ht="15" customHeight="1" x14ac:dyDescent="0.3">
      <c r="B9" s="12" t="s">
        <v>193</v>
      </c>
      <c r="C9" s="35"/>
      <c r="D9" s="35">
        <v>0.26200000000000001</v>
      </c>
      <c r="E9" s="35">
        <v>0.25800000000000001</v>
      </c>
      <c r="F9" s="35">
        <v>0.30199999999999999</v>
      </c>
      <c r="G9" s="36" t="s">
        <v>194</v>
      </c>
    </row>
    <row r="10" spans="1:9" ht="15" customHeight="1" x14ac:dyDescent="0.3">
      <c r="B10" s="14" t="s">
        <v>195</v>
      </c>
      <c r="C10" s="33">
        <v>2862</v>
      </c>
      <c r="D10" s="33">
        <v>3604</v>
      </c>
      <c r="E10" s="33">
        <v>4504</v>
      </c>
      <c r="F10" s="33">
        <v>5800</v>
      </c>
      <c r="G10" s="34" t="s">
        <v>196</v>
      </c>
    </row>
    <row r="11" spans="1:9" ht="28.95" customHeight="1" x14ac:dyDescent="0.3">
      <c r="B11" s="12" t="s">
        <v>197</v>
      </c>
      <c r="C11" s="37">
        <v>2733</v>
      </c>
      <c r="D11" s="37">
        <v>3457</v>
      </c>
      <c r="E11" s="37">
        <v>4380</v>
      </c>
      <c r="F11" s="37">
        <v>5756</v>
      </c>
      <c r="G11" s="36" t="s">
        <v>198</v>
      </c>
    </row>
    <row r="12" spans="1:9" ht="15" customHeight="1" x14ac:dyDescent="0.3">
      <c r="B12" s="14" t="s">
        <v>199</v>
      </c>
      <c r="C12" s="38">
        <v>0.48799999999999999</v>
      </c>
      <c r="D12" s="38">
        <v>0.49</v>
      </c>
      <c r="E12" s="38">
        <v>0.49299999999999999</v>
      </c>
      <c r="F12" s="38">
        <v>0.498</v>
      </c>
      <c r="G12" s="34"/>
    </row>
    <row r="13" spans="1:9" ht="15" customHeight="1" x14ac:dyDescent="0.3">
      <c r="B13" s="12" t="s">
        <v>200</v>
      </c>
      <c r="C13" s="37">
        <v>895</v>
      </c>
      <c r="D13" s="37">
        <v>888</v>
      </c>
      <c r="E13" s="37">
        <v>1043</v>
      </c>
      <c r="F13" s="37">
        <v>1422</v>
      </c>
      <c r="G13" s="36" t="s">
        <v>201</v>
      </c>
    </row>
    <row r="14" spans="1:9" ht="28.95" customHeight="1" x14ac:dyDescent="0.3">
      <c r="B14" s="14" t="s">
        <v>202</v>
      </c>
      <c r="C14" s="33">
        <v>810</v>
      </c>
      <c r="D14" s="33">
        <v>729</v>
      </c>
      <c r="E14" s="33">
        <v>1155</v>
      </c>
      <c r="F14" s="33">
        <v>1244</v>
      </c>
      <c r="G14" s="34" t="s">
        <v>203</v>
      </c>
    </row>
    <row r="15" spans="1:9" ht="28.95" customHeight="1" x14ac:dyDescent="0.3">
      <c r="B15" s="12" t="s">
        <v>204</v>
      </c>
      <c r="C15" s="37">
        <v>806</v>
      </c>
      <c r="D15" s="37">
        <v>840</v>
      </c>
      <c r="E15" s="37">
        <v>599</v>
      </c>
      <c r="F15" s="37">
        <v>1080</v>
      </c>
      <c r="G15" s="36" t="s">
        <v>205</v>
      </c>
    </row>
    <row r="16" spans="1:9" ht="15" customHeight="1" x14ac:dyDescent="0.3">
      <c r="B16" s="14" t="s">
        <v>206</v>
      </c>
      <c r="C16" s="33">
        <v>2511</v>
      </c>
      <c r="D16" s="33">
        <v>2457</v>
      </c>
      <c r="E16" s="33">
        <v>2797</v>
      </c>
      <c r="F16" s="33">
        <v>3746</v>
      </c>
      <c r="G16" s="34" t="s">
        <v>207</v>
      </c>
    </row>
    <row r="17" spans="2:7" ht="28.95" customHeight="1" x14ac:dyDescent="0.3">
      <c r="B17" s="12" t="s">
        <v>208</v>
      </c>
      <c r="C17" s="37">
        <v>44</v>
      </c>
      <c r="D17" s="37">
        <v>813</v>
      </c>
      <c r="E17" s="37">
        <v>1509</v>
      </c>
      <c r="F17" s="37">
        <v>1996</v>
      </c>
      <c r="G17" s="36" t="s">
        <v>209</v>
      </c>
    </row>
    <row r="18" spans="2:7" ht="15" customHeight="1" x14ac:dyDescent="0.3">
      <c r="B18" s="14" t="s">
        <v>210</v>
      </c>
      <c r="C18" s="38">
        <v>8.0000000000000002E-3</v>
      </c>
      <c r="D18" s="38">
        <v>0.115</v>
      </c>
      <c r="E18" s="38">
        <v>0.17</v>
      </c>
      <c r="F18" s="38">
        <v>0.17299999999999999</v>
      </c>
      <c r="G18" s="34"/>
    </row>
    <row r="19" spans="2:7" ht="15" customHeight="1" x14ac:dyDescent="0.3">
      <c r="B19" s="12" t="s">
        <v>211</v>
      </c>
      <c r="C19" s="37">
        <v>200</v>
      </c>
      <c r="D19" s="37">
        <v>235</v>
      </c>
      <c r="E19" s="37">
        <v>265</v>
      </c>
      <c r="F19" s="37">
        <v>310</v>
      </c>
      <c r="G19" s="36" t="s">
        <v>212</v>
      </c>
    </row>
    <row r="20" spans="2:7" ht="15" customHeight="1" x14ac:dyDescent="0.3">
      <c r="B20" s="14" t="s">
        <v>213</v>
      </c>
      <c r="C20" s="33">
        <v>22</v>
      </c>
      <c r="D20" s="33">
        <v>765</v>
      </c>
      <c r="E20" s="33">
        <v>1318</v>
      </c>
      <c r="F20" s="33">
        <v>1700</v>
      </c>
      <c r="G20" s="34" t="s">
        <v>214</v>
      </c>
    </row>
    <row r="21" spans="2:7" ht="28.95" customHeight="1" x14ac:dyDescent="0.3">
      <c r="B21" s="12" t="s">
        <v>215</v>
      </c>
      <c r="C21" s="37">
        <v>-85</v>
      </c>
      <c r="D21" s="37">
        <v>-195</v>
      </c>
      <c r="E21" s="37">
        <v>-232</v>
      </c>
      <c r="F21" s="37">
        <v>-295</v>
      </c>
      <c r="G21" s="36" t="s">
        <v>216</v>
      </c>
    </row>
    <row r="22" spans="2:7" ht="15" customHeight="1" x14ac:dyDescent="0.3">
      <c r="B22" s="14" t="s">
        <v>217</v>
      </c>
      <c r="C22" s="33">
        <v>107</v>
      </c>
      <c r="D22" s="33">
        <v>960</v>
      </c>
      <c r="E22" s="33">
        <v>1550</v>
      </c>
      <c r="F22" s="33">
        <v>1995</v>
      </c>
      <c r="G22" s="34"/>
    </row>
    <row r="23" spans="2:7" ht="15" customHeight="1" x14ac:dyDescent="0.3">
      <c r="B23" s="12" t="s">
        <v>218</v>
      </c>
      <c r="C23" s="37">
        <v>16</v>
      </c>
      <c r="D23" s="37">
        <v>144</v>
      </c>
      <c r="E23" s="37">
        <v>233</v>
      </c>
      <c r="F23" s="37">
        <v>299</v>
      </c>
      <c r="G23" s="36" t="s">
        <v>219</v>
      </c>
    </row>
    <row r="24" spans="2:7" ht="15" customHeight="1" x14ac:dyDescent="0.3">
      <c r="B24" s="14" t="s">
        <v>220</v>
      </c>
      <c r="C24" s="33">
        <v>91</v>
      </c>
      <c r="D24" s="33">
        <v>816</v>
      </c>
      <c r="E24" s="33">
        <v>1317</v>
      </c>
      <c r="F24" s="33">
        <v>1696</v>
      </c>
      <c r="G24" s="34" t="s">
        <v>221</v>
      </c>
    </row>
    <row r="25" spans="2:7" ht="15" customHeight="1" x14ac:dyDescent="0.3">
      <c r="B25" s="39"/>
      <c r="C25" s="40"/>
      <c r="D25" s="40"/>
      <c r="E25" s="40"/>
      <c r="F25" s="40"/>
      <c r="G25" s="41"/>
    </row>
    <row r="26" spans="2:7" ht="15" customHeight="1" x14ac:dyDescent="0.3">
      <c r="B26" s="229" t="s">
        <v>222</v>
      </c>
      <c r="C26" s="230"/>
      <c r="D26" s="230"/>
      <c r="E26" s="230"/>
      <c r="F26" s="230"/>
      <c r="G26" s="32"/>
    </row>
    <row r="27" spans="2:7" ht="15" customHeight="1" x14ac:dyDescent="0.3">
      <c r="B27" s="12" t="s">
        <v>223</v>
      </c>
      <c r="C27" s="37">
        <v>5053</v>
      </c>
      <c r="D27" s="37">
        <v>5008</v>
      </c>
      <c r="E27" s="37">
        <v>5479</v>
      </c>
      <c r="F27" s="37">
        <v>5778</v>
      </c>
      <c r="G27" s="36" t="s">
        <v>224</v>
      </c>
    </row>
    <row r="28" spans="2:7" ht="28.95" customHeight="1" x14ac:dyDescent="0.3">
      <c r="B28" s="14" t="s">
        <v>225</v>
      </c>
      <c r="C28" s="33">
        <v>913</v>
      </c>
      <c r="D28" s="33">
        <v>916</v>
      </c>
      <c r="E28" s="33">
        <v>0</v>
      </c>
      <c r="F28" s="33">
        <v>0</v>
      </c>
      <c r="G28" s="34" t="s">
        <v>226</v>
      </c>
    </row>
    <row r="29" spans="2:7" ht="15" customHeight="1" x14ac:dyDescent="0.3">
      <c r="B29" s="12" t="s">
        <v>227</v>
      </c>
      <c r="C29" s="37">
        <v>-4140</v>
      </c>
      <c r="D29" s="37">
        <v>-4092</v>
      </c>
      <c r="E29" s="37">
        <v>-5479</v>
      </c>
      <c r="F29" s="37">
        <v>-5778</v>
      </c>
      <c r="G29" s="36" t="s">
        <v>228</v>
      </c>
    </row>
    <row r="30" spans="2:7" ht="15" customHeight="1" x14ac:dyDescent="0.3">
      <c r="B30" s="14" t="s">
        <v>229</v>
      </c>
      <c r="C30" s="33">
        <v>9500</v>
      </c>
      <c r="D30" s="33">
        <v>10900</v>
      </c>
      <c r="E30" s="33">
        <v>12800</v>
      </c>
      <c r="F30" s="33">
        <v>16200</v>
      </c>
      <c r="G30" s="34" t="s">
        <v>230</v>
      </c>
    </row>
    <row r="31" spans="2:7" ht="15" customHeight="1" x14ac:dyDescent="0.3">
      <c r="B31" s="39"/>
      <c r="C31" s="40"/>
      <c r="D31" s="40"/>
      <c r="E31" s="40"/>
      <c r="F31" s="40"/>
      <c r="G31" s="41"/>
    </row>
    <row r="32" spans="2:7" ht="15" customHeight="1" x14ac:dyDescent="0.3">
      <c r="B32" s="229" t="s">
        <v>231</v>
      </c>
      <c r="C32" s="230"/>
      <c r="D32" s="230"/>
      <c r="E32" s="230"/>
      <c r="F32" s="230"/>
      <c r="G32" s="32"/>
    </row>
    <row r="33" spans="2:7" ht="15" customHeight="1" x14ac:dyDescent="0.3">
      <c r="B33" s="12" t="s">
        <v>232</v>
      </c>
      <c r="C33" s="37">
        <v>-136</v>
      </c>
      <c r="D33" s="37">
        <v>944</v>
      </c>
      <c r="E33" s="37">
        <v>1616</v>
      </c>
      <c r="F33" s="37">
        <v>2033</v>
      </c>
      <c r="G33" s="36" t="s">
        <v>233</v>
      </c>
    </row>
    <row r="34" spans="2:7" ht="28.95" customHeight="1" x14ac:dyDescent="0.3">
      <c r="B34" s="14" t="s">
        <v>234</v>
      </c>
      <c r="C34" s="33">
        <v>50</v>
      </c>
      <c r="D34" s="33">
        <v>39</v>
      </c>
      <c r="E34" s="33">
        <v>19</v>
      </c>
      <c r="F34" s="33">
        <v>26</v>
      </c>
      <c r="G34" s="34" t="s">
        <v>235</v>
      </c>
    </row>
    <row r="35" spans="2:7" ht="40.950000000000003" customHeight="1" x14ac:dyDescent="0.3">
      <c r="B35" s="12" t="s">
        <v>236</v>
      </c>
      <c r="C35" s="37">
        <v>-186</v>
      </c>
      <c r="D35" s="37">
        <v>905</v>
      </c>
      <c r="E35" s="37">
        <v>1597</v>
      </c>
      <c r="F35" s="37">
        <v>2007</v>
      </c>
      <c r="G35" s="36" t="s">
        <v>237</v>
      </c>
    </row>
  </sheetData>
  <mergeCells count="5">
    <mergeCell ref="B4:F4"/>
    <mergeCell ref="B7:F7"/>
    <mergeCell ref="B2:F2"/>
    <mergeCell ref="B32:F32"/>
    <mergeCell ref="B26:F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M44"/>
  <sheetViews>
    <sheetView showGridLines="0" topLeftCell="A12" workbookViewId="0">
      <selection activeCell="H44" sqref="H44"/>
    </sheetView>
  </sheetViews>
  <sheetFormatPr defaultRowHeight="14.4" x14ac:dyDescent="0.3"/>
  <cols>
    <col min="1" max="1" width="1" customWidth="1"/>
    <col min="2" max="2" width="30" customWidth="1"/>
    <col min="3" max="11" width="10" customWidth="1"/>
    <col min="12" max="12" width="35" customWidth="1"/>
  </cols>
  <sheetData>
    <row r="2" spans="1:13" ht="22.05" customHeight="1" x14ac:dyDescent="0.3">
      <c r="B2" s="227" t="s">
        <v>238</v>
      </c>
      <c r="C2" s="224"/>
      <c r="D2" s="224"/>
      <c r="E2" s="224"/>
      <c r="F2" s="224"/>
      <c r="G2" s="224"/>
      <c r="H2" s="224"/>
      <c r="I2" s="224"/>
      <c r="J2" s="224"/>
      <c r="K2" s="224"/>
      <c r="L2" s="5"/>
    </row>
    <row r="3" spans="1:13" ht="12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8" customHeight="1" x14ac:dyDescent="0.3">
      <c r="B4" s="7" t="s">
        <v>184</v>
      </c>
      <c r="C4" s="31" t="s">
        <v>185</v>
      </c>
      <c r="D4" s="31" t="s">
        <v>186</v>
      </c>
      <c r="E4" s="31" t="s">
        <v>187</v>
      </c>
      <c r="F4" s="31" t="s">
        <v>188</v>
      </c>
      <c r="G4" s="31" t="s">
        <v>239</v>
      </c>
      <c r="H4" s="31" t="s">
        <v>240</v>
      </c>
      <c r="I4" s="31" t="s">
        <v>241</v>
      </c>
      <c r="J4" s="31" t="s">
        <v>242</v>
      </c>
      <c r="K4" s="31" t="s">
        <v>243</v>
      </c>
      <c r="L4" s="31" t="s">
        <v>244</v>
      </c>
    </row>
    <row r="5" spans="1:13" ht="13.95" customHeight="1" x14ac:dyDescent="0.3">
      <c r="B5" s="233" t="s">
        <v>245</v>
      </c>
      <c r="C5" s="234"/>
      <c r="D5" s="234"/>
      <c r="E5" s="234"/>
      <c r="F5" s="234"/>
      <c r="G5" s="234"/>
      <c r="H5" s="234"/>
      <c r="I5" s="234"/>
      <c r="J5" s="234"/>
      <c r="K5" s="234"/>
      <c r="L5" s="42"/>
    </row>
    <row r="6" spans="1:13" ht="13.95" customHeight="1" x14ac:dyDescent="0.3">
      <c r="B6" s="232" t="s">
        <v>246</v>
      </c>
      <c r="C6" s="226"/>
      <c r="D6" s="226"/>
      <c r="E6" s="226"/>
      <c r="F6" s="226"/>
      <c r="G6" s="226"/>
      <c r="H6" s="226"/>
      <c r="I6" s="226"/>
      <c r="J6" s="226"/>
      <c r="K6" s="226"/>
      <c r="L6" s="42"/>
    </row>
    <row r="7" spans="1:13" ht="15" customHeight="1" x14ac:dyDescent="0.3">
      <c r="B7" s="12" t="s">
        <v>247</v>
      </c>
      <c r="C7" s="40"/>
      <c r="D7" s="40"/>
      <c r="E7" s="40"/>
      <c r="F7" s="40"/>
      <c r="G7" s="20">
        <v>0.28199999999999997</v>
      </c>
      <c r="H7" s="20">
        <v>0.23200000000000001</v>
      </c>
      <c r="I7" s="20">
        <v>0.21199999999999999</v>
      </c>
      <c r="J7" s="20">
        <v>0.2</v>
      </c>
      <c r="K7" s="27" t="s">
        <v>248</v>
      </c>
      <c r="L7" s="36" t="s">
        <v>249</v>
      </c>
    </row>
    <row r="8" spans="1:13" ht="15" customHeight="1" x14ac:dyDescent="0.3">
      <c r="B8" s="14" t="s">
        <v>250</v>
      </c>
      <c r="C8" s="43"/>
      <c r="D8" s="43"/>
      <c r="E8" s="43"/>
      <c r="F8" s="43"/>
      <c r="G8" s="44">
        <v>0.5</v>
      </c>
      <c r="H8" s="44">
        <v>0.505</v>
      </c>
      <c r="I8" s="44">
        <v>0.51</v>
      </c>
      <c r="J8" s="44">
        <v>0.51500000000000001</v>
      </c>
      <c r="K8" s="44">
        <v>0.52</v>
      </c>
      <c r="L8" s="34" t="s">
        <v>251</v>
      </c>
    </row>
    <row r="9" spans="1:13" ht="15" customHeight="1" x14ac:dyDescent="0.3">
      <c r="B9" s="12" t="s">
        <v>252</v>
      </c>
      <c r="C9" s="40"/>
      <c r="D9" s="40"/>
      <c r="E9" s="40"/>
      <c r="F9" s="40"/>
      <c r="G9" s="20">
        <v>0.125</v>
      </c>
      <c r="H9" s="20">
        <v>0.12</v>
      </c>
      <c r="I9" s="20">
        <v>0.11799999999999999</v>
      </c>
      <c r="J9" s="20">
        <v>0.115</v>
      </c>
      <c r="K9" s="20">
        <v>0.112</v>
      </c>
      <c r="L9" s="36" t="s">
        <v>253</v>
      </c>
    </row>
    <row r="10" spans="1:13" ht="15" customHeight="1" x14ac:dyDescent="0.3">
      <c r="B10" s="14" t="s">
        <v>254</v>
      </c>
      <c r="C10" s="43"/>
      <c r="D10" s="43"/>
      <c r="E10" s="43"/>
      <c r="F10" s="43"/>
      <c r="G10" s="44">
        <v>0.113</v>
      </c>
      <c r="H10" s="44">
        <v>0.115</v>
      </c>
      <c r="I10" s="44">
        <v>0.115</v>
      </c>
      <c r="J10" s="44">
        <v>0.113</v>
      </c>
      <c r="K10" s="44">
        <v>0.11</v>
      </c>
      <c r="L10" s="34" t="s">
        <v>255</v>
      </c>
    </row>
    <row r="11" spans="1:13" ht="15" customHeight="1" x14ac:dyDescent="0.3">
      <c r="B11" s="12" t="s">
        <v>256</v>
      </c>
      <c r="C11" s="40"/>
      <c r="D11" s="40"/>
      <c r="E11" s="40"/>
      <c r="F11" s="40"/>
      <c r="G11" s="20">
        <v>7.4999999999999997E-2</v>
      </c>
      <c r="H11" s="20">
        <v>7.5999999999999998E-2</v>
      </c>
      <c r="I11" s="20">
        <v>7.6999999999999999E-2</v>
      </c>
      <c r="J11" s="20">
        <v>7.4999999999999997E-2</v>
      </c>
      <c r="K11" s="20">
        <v>7.2999999999999995E-2</v>
      </c>
      <c r="L11" s="36" t="s">
        <v>257</v>
      </c>
    </row>
    <row r="12" spans="1:13" ht="15" customHeight="1" x14ac:dyDescent="0.3">
      <c r="B12" s="14" t="s">
        <v>258</v>
      </c>
      <c r="C12" s="43"/>
      <c r="D12" s="43"/>
      <c r="E12" s="43"/>
      <c r="F12" s="43"/>
      <c r="G12" s="44">
        <v>2.8000000000000001E-2</v>
      </c>
      <c r="H12" s="44">
        <v>2.7E-2</v>
      </c>
      <c r="I12" s="44">
        <v>2.5999999999999999E-2</v>
      </c>
      <c r="J12" s="44">
        <v>2.5000000000000001E-2</v>
      </c>
      <c r="K12" s="44">
        <v>2.4E-2</v>
      </c>
      <c r="L12" s="34" t="s">
        <v>259</v>
      </c>
    </row>
    <row r="13" spans="1:13" ht="15" customHeight="1" x14ac:dyDescent="0.3">
      <c r="B13" s="12" t="s">
        <v>260</v>
      </c>
      <c r="C13" s="40"/>
      <c r="D13" s="40"/>
      <c r="E13" s="40"/>
      <c r="F13" s="40"/>
      <c r="G13" s="20">
        <v>0.15</v>
      </c>
      <c r="H13" s="20">
        <v>0.15</v>
      </c>
      <c r="I13" s="20">
        <v>0.15</v>
      </c>
      <c r="J13" s="20">
        <v>0.15</v>
      </c>
      <c r="K13" s="20">
        <v>0.15</v>
      </c>
      <c r="L13" s="36" t="s">
        <v>261</v>
      </c>
    </row>
    <row r="14" spans="1:13" ht="15" customHeight="1" x14ac:dyDescent="0.3">
      <c r="B14" s="14" t="s">
        <v>262</v>
      </c>
      <c r="C14" s="43"/>
      <c r="D14" s="43"/>
      <c r="E14" s="43"/>
      <c r="F14" s="43"/>
      <c r="G14" s="44">
        <v>1.7000000000000001E-2</v>
      </c>
      <c r="H14" s="44">
        <v>1.6E-2</v>
      </c>
      <c r="I14" s="44">
        <v>1.4999999999999999E-2</v>
      </c>
      <c r="J14" s="44">
        <v>1.4999999999999999E-2</v>
      </c>
      <c r="K14" s="44">
        <v>1.4E-2</v>
      </c>
      <c r="L14" s="34" t="s">
        <v>263</v>
      </c>
    </row>
    <row r="16" spans="1:13" ht="16.05" customHeight="1" x14ac:dyDescent="0.3">
      <c r="B16" s="231" t="s">
        <v>264</v>
      </c>
      <c r="C16" s="230"/>
      <c r="D16" s="230"/>
      <c r="E16" s="230"/>
      <c r="F16" s="230"/>
      <c r="G16" s="230"/>
      <c r="H16" s="230"/>
      <c r="I16" s="230"/>
      <c r="J16" s="230"/>
      <c r="K16" s="230"/>
      <c r="L16" s="30"/>
    </row>
    <row r="17" spans="2:12" ht="15" customHeight="1" x14ac:dyDescent="0.3">
      <c r="B17" s="12" t="s">
        <v>265</v>
      </c>
      <c r="C17" s="37">
        <v>5595</v>
      </c>
      <c r="D17" s="37">
        <v>7061</v>
      </c>
      <c r="E17" s="37">
        <v>8884</v>
      </c>
      <c r="F17" s="37">
        <v>11556</v>
      </c>
      <c r="G17" s="22">
        <f>F17*(1+G7)</f>
        <v>14814.791999999999</v>
      </c>
      <c r="H17" s="22">
        <f>G17*(1+H7)</f>
        <v>18251.823743999998</v>
      </c>
      <c r="I17" s="22">
        <f>H17*(1+I7)</f>
        <v>22121.210377727995</v>
      </c>
      <c r="J17" s="22">
        <f>I17*(1+J7)</f>
        <v>26545.452453273592</v>
      </c>
      <c r="K17" s="22" t="e">
        <f>J17*(1+K7)</f>
        <v>#VALUE!</v>
      </c>
      <c r="L17" s="36" t="s">
        <v>266</v>
      </c>
    </row>
    <row r="18" spans="2:12" ht="15" customHeight="1" x14ac:dyDescent="0.3">
      <c r="B18" s="45" t="s">
        <v>193</v>
      </c>
      <c r="C18" s="38"/>
      <c r="D18" s="38">
        <v>0.26200000000000001</v>
      </c>
      <c r="E18" s="38">
        <v>0.25800000000000001</v>
      </c>
      <c r="F18" s="38">
        <v>0.30199999999999999</v>
      </c>
      <c r="G18" s="46">
        <f>IFERROR(G17/F17-1,"-")</f>
        <v>0.28200000000000003</v>
      </c>
      <c r="H18" s="46">
        <f>IFERROR(H17/G17-1,"-")</f>
        <v>0.23199999999999998</v>
      </c>
      <c r="I18" s="46">
        <f>IFERROR(I17/H17-1,"-")</f>
        <v>0.21199999999999997</v>
      </c>
      <c r="J18" s="46">
        <f>IFERROR(J17/I17-1,"-")</f>
        <v>0.19999999999999996</v>
      </c>
      <c r="K18" s="46" t="str">
        <f>IFERROR(K17/J17-1,"-")</f>
        <v>-</v>
      </c>
      <c r="L18" s="34"/>
    </row>
    <row r="19" spans="2:12" ht="15" customHeight="1" x14ac:dyDescent="0.3">
      <c r="B19" s="12" t="s">
        <v>267</v>
      </c>
      <c r="C19" s="37">
        <v>2733</v>
      </c>
      <c r="D19" s="37">
        <v>3457</v>
      </c>
      <c r="E19" s="37">
        <v>4380</v>
      </c>
      <c r="F19" s="37">
        <v>5756</v>
      </c>
      <c r="G19" s="22">
        <f>G17*G8</f>
        <v>7407.3959999999997</v>
      </c>
      <c r="H19" s="22">
        <f>H17*H8</f>
        <v>9217.1709907199984</v>
      </c>
      <c r="I19" s="22">
        <f>I17*I8</f>
        <v>11281.817292641277</v>
      </c>
      <c r="J19" s="22">
        <f>J17*J8</f>
        <v>13670.908013435901</v>
      </c>
      <c r="K19" s="22" t="e">
        <f>K17*K8</f>
        <v>#VALUE!</v>
      </c>
      <c r="L19" s="36" t="s">
        <v>268</v>
      </c>
    </row>
    <row r="20" spans="2:12" ht="15" customHeight="1" x14ac:dyDescent="0.3">
      <c r="B20" s="45" t="s">
        <v>199</v>
      </c>
      <c r="C20" s="38">
        <v>0.48799999999999999</v>
      </c>
      <c r="D20" s="38">
        <v>0.49</v>
      </c>
      <c r="E20" s="38">
        <v>0.49299999999999999</v>
      </c>
      <c r="F20" s="38">
        <v>0.498</v>
      </c>
      <c r="G20" s="46">
        <f>IFERROR(G19/G17,"-")</f>
        <v>0.5</v>
      </c>
      <c r="H20" s="46">
        <f>IFERROR(H19/H17,"-")</f>
        <v>0.505</v>
      </c>
      <c r="I20" s="46">
        <f>IFERROR(I19/I17,"-")</f>
        <v>0.51</v>
      </c>
      <c r="J20" s="46">
        <f>IFERROR(J19/J17,"-")</f>
        <v>0.51500000000000001</v>
      </c>
      <c r="K20" s="46" t="str">
        <f>IFERROR(K19/K17,"-")</f>
        <v>-</v>
      </c>
      <c r="L20" s="34"/>
    </row>
    <row r="21" spans="2:12" ht="15" customHeight="1" x14ac:dyDescent="0.3">
      <c r="B21" s="12" t="s">
        <v>269</v>
      </c>
      <c r="C21" s="37">
        <v>895</v>
      </c>
      <c r="D21" s="37">
        <v>888</v>
      </c>
      <c r="E21" s="37">
        <v>1043</v>
      </c>
      <c r="F21" s="37">
        <v>1422</v>
      </c>
      <c r="G21" s="22">
        <f>G17*G9</f>
        <v>1851.8489999999999</v>
      </c>
      <c r="H21" s="22">
        <f>H17*H9</f>
        <v>2190.2188492799996</v>
      </c>
      <c r="I21" s="22">
        <f>I17*I9</f>
        <v>2610.3028245719033</v>
      </c>
      <c r="J21" s="22">
        <f>J17*J9</f>
        <v>3052.7270321264632</v>
      </c>
      <c r="K21" s="22" t="e">
        <f>K17*K9</f>
        <v>#VALUE!</v>
      </c>
      <c r="L21" s="36"/>
    </row>
    <row r="22" spans="2:12" ht="15" customHeight="1" x14ac:dyDescent="0.3">
      <c r="B22" s="14" t="s">
        <v>270</v>
      </c>
      <c r="C22" s="33">
        <v>810</v>
      </c>
      <c r="D22" s="33">
        <v>729</v>
      </c>
      <c r="E22" s="33">
        <v>1155</v>
      </c>
      <c r="F22" s="33">
        <v>1244</v>
      </c>
      <c r="G22" s="24">
        <f>G17*G10</f>
        <v>1674.071496</v>
      </c>
      <c r="H22" s="24">
        <f>H17*H10</f>
        <v>2098.95973056</v>
      </c>
      <c r="I22" s="24">
        <f>I17*I10</f>
        <v>2543.9391934387195</v>
      </c>
      <c r="J22" s="24">
        <f>J17*J10</f>
        <v>2999.636127219916</v>
      </c>
      <c r="K22" s="24" t="e">
        <f>K17*K10</f>
        <v>#VALUE!</v>
      </c>
      <c r="L22" s="34" t="s">
        <v>271</v>
      </c>
    </row>
    <row r="23" spans="2:12" ht="15" customHeight="1" x14ac:dyDescent="0.3">
      <c r="B23" s="12" t="s">
        <v>272</v>
      </c>
      <c r="C23" s="37">
        <v>806</v>
      </c>
      <c r="D23" s="37">
        <v>840</v>
      </c>
      <c r="E23" s="37">
        <v>599</v>
      </c>
      <c r="F23" s="37">
        <v>1080</v>
      </c>
      <c r="G23" s="22">
        <f>G17*G11</f>
        <v>1111.1093999999998</v>
      </c>
      <c r="H23" s="22">
        <f>H17*H11</f>
        <v>1387.1386045439997</v>
      </c>
      <c r="I23" s="22">
        <f>I17*I11</f>
        <v>1703.3331990850556</v>
      </c>
      <c r="J23" s="22">
        <f>J17*J11</f>
        <v>1990.9089339955194</v>
      </c>
      <c r="K23" s="22" t="e">
        <f>K17*K11</f>
        <v>#VALUE!</v>
      </c>
      <c r="L23" s="36"/>
    </row>
    <row r="24" spans="2:12" ht="15" customHeight="1" x14ac:dyDescent="0.3">
      <c r="B24" s="14" t="s">
        <v>273</v>
      </c>
      <c r="C24" s="33">
        <v>2511</v>
      </c>
      <c r="D24" s="33">
        <v>2457</v>
      </c>
      <c r="E24" s="33">
        <v>2797</v>
      </c>
      <c r="F24" s="33">
        <v>3746</v>
      </c>
      <c r="G24" s="24">
        <f>G21+G22+G23</f>
        <v>4637.029896</v>
      </c>
      <c r="H24" s="24">
        <f>H21+H22+H23</f>
        <v>5676.3171843839991</v>
      </c>
      <c r="I24" s="24">
        <f>I21+I22+I23</f>
        <v>6857.5752170956785</v>
      </c>
      <c r="J24" s="24">
        <f>J21+J22+J23</f>
        <v>8043.2720933418987</v>
      </c>
      <c r="K24" s="24" t="e">
        <f>K21+K22+K23</f>
        <v>#VALUE!</v>
      </c>
      <c r="L24" s="34" t="s">
        <v>274</v>
      </c>
    </row>
    <row r="25" spans="2:12" ht="15" customHeight="1" x14ac:dyDescent="0.3">
      <c r="B25" s="12" t="s">
        <v>275</v>
      </c>
      <c r="C25" s="37">
        <v>44</v>
      </c>
      <c r="D25" s="37">
        <v>813</v>
      </c>
      <c r="E25" s="37">
        <v>1509</v>
      </c>
      <c r="F25" s="37">
        <v>1996</v>
      </c>
      <c r="G25" s="22">
        <f>G19-G24</f>
        <v>2770.3661039999997</v>
      </c>
      <c r="H25" s="22">
        <f>H19-H24</f>
        <v>3540.8538063359993</v>
      </c>
      <c r="I25" s="22">
        <f>I19-I24</f>
        <v>4424.2420755455987</v>
      </c>
      <c r="J25" s="22">
        <f>J19-J24</f>
        <v>5627.6359200940024</v>
      </c>
      <c r="K25" s="22" t="s">
        <v>276</v>
      </c>
      <c r="L25" s="36" t="s">
        <v>277</v>
      </c>
    </row>
    <row r="26" spans="2:12" ht="15" customHeight="1" x14ac:dyDescent="0.3">
      <c r="B26" s="14" t="s">
        <v>210</v>
      </c>
      <c r="C26" s="38">
        <v>8.0000000000000002E-3</v>
      </c>
      <c r="D26" s="38">
        <v>0.115</v>
      </c>
      <c r="E26" s="38">
        <v>0.17</v>
      </c>
      <c r="F26" s="38">
        <v>0.17299999999999999</v>
      </c>
      <c r="G26" s="46">
        <f>IFERROR(G25/G17,"-")</f>
        <v>0.187</v>
      </c>
      <c r="H26" s="46">
        <f>IFERROR(H25/H17,"-")</f>
        <v>0.19399999999999998</v>
      </c>
      <c r="I26" s="46">
        <f>IFERROR(I25/I17,"-")</f>
        <v>0.19999999999999998</v>
      </c>
      <c r="J26" s="46">
        <f>IFERROR(J25/J17,"-")</f>
        <v>0.21200000000000002</v>
      </c>
      <c r="K26" s="46" t="str">
        <f>IFERROR(K25/K17,"-")</f>
        <v>-</v>
      </c>
      <c r="L26" s="34"/>
    </row>
    <row r="27" spans="2:12" ht="15" customHeight="1" x14ac:dyDescent="0.3">
      <c r="B27" s="12" t="s">
        <v>278</v>
      </c>
      <c r="C27" s="37">
        <v>200</v>
      </c>
      <c r="D27" s="37">
        <v>235</v>
      </c>
      <c r="E27" s="37">
        <v>265</v>
      </c>
      <c r="F27" s="37">
        <v>310</v>
      </c>
      <c r="G27" s="22">
        <f>G17*G12</f>
        <v>414.81417599999997</v>
      </c>
      <c r="H27" s="22">
        <f>H17*H12</f>
        <v>492.79924108799992</v>
      </c>
      <c r="I27" s="22">
        <f>I17*I12</f>
        <v>575.1514698209279</v>
      </c>
      <c r="J27" s="22">
        <f>J17*J12</f>
        <v>663.63631133183981</v>
      </c>
      <c r="K27" s="22" t="e">
        <f>K17*K12</f>
        <v>#VALUE!</v>
      </c>
      <c r="L27" s="36"/>
    </row>
    <row r="28" spans="2:12" ht="15" customHeight="1" x14ac:dyDescent="0.3">
      <c r="B28" s="14" t="s">
        <v>279</v>
      </c>
      <c r="C28" s="33">
        <v>22</v>
      </c>
      <c r="D28" s="33">
        <v>765</v>
      </c>
      <c r="E28" s="33">
        <v>1318</v>
      </c>
      <c r="F28" s="33">
        <v>1700</v>
      </c>
      <c r="G28" s="24">
        <f>G25-G27</f>
        <v>2355.5519279999999</v>
      </c>
      <c r="H28" s="24">
        <f>H25-H27</f>
        <v>3048.0545652479996</v>
      </c>
      <c r="I28" s="24">
        <f>I25-I27</f>
        <v>3849.0906057246707</v>
      </c>
      <c r="J28" s="24">
        <f>J25-J27</f>
        <v>4963.9996087621621</v>
      </c>
      <c r="K28" s="24" t="e">
        <f>K25-K27</f>
        <v>#VALUE!</v>
      </c>
      <c r="L28" s="34"/>
    </row>
    <row r="29" spans="2:12" ht="15" customHeight="1" x14ac:dyDescent="0.3">
      <c r="B29" s="12" t="s">
        <v>280</v>
      </c>
      <c r="C29" s="37">
        <v>-85</v>
      </c>
      <c r="D29" s="37">
        <v>-195</v>
      </c>
      <c r="E29" s="37">
        <v>-232</v>
      </c>
      <c r="F29" s="37">
        <v>-295</v>
      </c>
      <c r="G29" s="22"/>
      <c r="H29" s="22"/>
      <c r="I29" s="22"/>
      <c r="J29" s="22"/>
      <c r="K29" s="22"/>
      <c r="L29" s="36" t="s">
        <v>281</v>
      </c>
    </row>
    <row r="30" spans="2:12" ht="15" customHeight="1" x14ac:dyDescent="0.3">
      <c r="B30" s="14" t="s">
        <v>282</v>
      </c>
      <c r="C30" s="33">
        <v>107</v>
      </c>
      <c r="D30" s="33">
        <v>960</v>
      </c>
      <c r="E30" s="33">
        <v>1550</v>
      </c>
      <c r="F30" s="33">
        <v>1995</v>
      </c>
      <c r="G30" s="24">
        <f>G28-G29</f>
        <v>2355.5519279999999</v>
      </c>
      <c r="H30" s="24">
        <f>H28-H29</f>
        <v>3048.0545652479996</v>
      </c>
      <c r="I30" s="24">
        <f>I28-I29</f>
        <v>3849.0906057246707</v>
      </c>
      <c r="J30" s="24">
        <f>J28-J29</f>
        <v>4963.9996087621621</v>
      </c>
      <c r="K30" s="24" t="e">
        <f>K28-K29</f>
        <v>#VALUE!</v>
      </c>
      <c r="L30" s="34"/>
    </row>
    <row r="31" spans="2:12" ht="15" customHeight="1" x14ac:dyDescent="0.3">
      <c r="B31" s="12" t="s">
        <v>283</v>
      </c>
      <c r="C31" s="37">
        <v>16</v>
      </c>
      <c r="D31" s="37">
        <v>144</v>
      </c>
      <c r="E31" s="37">
        <v>233</v>
      </c>
      <c r="F31" s="37">
        <v>299</v>
      </c>
      <c r="G31" s="22">
        <f>G30*G13</f>
        <v>353.33278919999998</v>
      </c>
      <c r="H31" s="22">
        <f>H30*H13</f>
        <v>457.20818478719991</v>
      </c>
      <c r="I31" s="22">
        <f>I30*I13</f>
        <v>577.3635908587006</v>
      </c>
      <c r="J31" s="22">
        <f>J30*J13</f>
        <v>744.59994131432427</v>
      </c>
      <c r="K31" s="22" t="e">
        <f>K30*K13</f>
        <v>#VALUE!</v>
      </c>
      <c r="L31" s="36" t="s">
        <v>284</v>
      </c>
    </row>
    <row r="32" spans="2:12" ht="15" customHeight="1" x14ac:dyDescent="0.3">
      <c r="B32" s="14" t="s">
        <v>285</v>
      </c>
      <c r="C32" s="33">
        <v>91</v>
      </c>
      <c r="D32" s="33">
        <v>816</v>
      </c>
      <c r="E32" s="33">
        <v>1317</v>
      </c>
      <c r="F32" s="33">
        <v>1696</v>
      </c>
      <c r="G32" s="24">
        <f>G30-G31</f>
        <v>2002.2191387999999</v>
      </c>
      <c r="H32" s="24">
        <f>H30-H31</f>
        <v>2590.8463804607995</v>
      </c>
      <c r="I32" s="24">
        <f>I30-I31</f>
        <v>3271.72701486597</v>
      </c>
      <c r="J32" s="24">
        <f>J30-J31</f>
        <v>4219.3996674478376</v>
      </c>
      <c r="K32" s="24" t="e">
        <f>K30-K31</f>
        <v>#VALUE!</v>
      </c>
      <c r="L32" s="34"/>
    </row>
    <row r="33" spans="2:12" ht="15" customHeight="1" x14ac:dyDescent="0.3">
      <c r="B33" s="39"/>
      <c r="C33" s="40"/>
      <c r="D33" s="40"/>
      <c r="E33" s="40"/>
      <c r="F33" s="40"/>
      <c r="G33" s="47"/>
      <c r="H33" s="47"/>
      <c r="I33" s="47"/>
      <c r="J33" s="47"/>
      <c r="K33" s="47"/>
      <c r="L33" s="41"/>
    </row>
    <row r="34" spans="2:12" ht="16.05" customHeight="1" x14ac:dyDescent="0.3">
      <c r="B34" s="231" t="s">
        <v>286</v>
      </c>
      <c r="C34" s="230"/>
      <c r="D34" s="230"/>
      <c r="E34" s="230"/>
      <c r="F34" s="230"/>
      <c r="G34" s="230"/>
      <c r="H34" s="230"/>
      <c r="I34" s="230"/>
      <c r="J34" s="230"/>
      <c r="K34" s="230"/>
      <c r="L34" s="48"/>
    </row>
    <row r="35" spans="2:12" ht="15" customHeight="1" x14ac:dyDescent="0.3">
      <c r="B35" s="12" t="s">
        <v>275</v>
      </c>
      <c r="C35" s="37"/>
      <c r="D35" s="37"/>
      <c r="E35" s="37"/>
      <c r="F35" s="37"/>
      <c r="G35" s="22">
        <f>G25</f>
        <v>2770.3661039999997</v>
      </c>
      <c r="H35" s="22">
        <f>H25</f>
        <v>3540.8538063359993</v>
      </c>
      <c r="I35" s="22">
        <f>I25</f>
        <v>4424.2420755455987</v>
      </c>
      <c r="J35" s="22">
        <f>J25</f>
        <v>5627.6359200940024</v>
      </c>
      <c r="K35" s="22" t="str">
        <f>K25</f>
        <v>FY2025A 17.3% (model); FY2026E ~18.8%; FY2028E ~21.2%</v>
      </c>
      <c r="L35" s="36"/>
    </row>
    <row r="36" spans="2:12" ht="15" customHeight="1" x14ac:dyDescent="0.3">
      <c r="B36" s="14" t="s">
        <v>287</v>
      </c>
      <c r="C36" s="33">
        <v>50</v>
      </c>
      <c r="D36" s="33">
        <v>39</v>
      </c>
      <c r="E36" s="33">
        <v>19</v>
      </c>
      <c r="F36" s="33">
        <v>26</v>
      </c>
      <c r="G36" s="24">
        <f>G17*G14</f>
        <v>251.85146400000002</v>
      </c>
      <c r="H36" s="24">
        <f>H17*H14</f>
        <v>292.02917990399999</v>
      </c>
      <c r="I36" s="24">
        <f>I17*I14</f>
        <v>331.8181556659199</v>
      </c>
      <c r="J36" s="24">
        <f>J17*J14</f>
        <v>398.18178679910386</v>
      </c>
      <c r="K36" s="24" t="e">
        <f>K17*K14</f>
        <v>#VALUE!</v>
      </c>
      <c r="L36" s="34" t="s">
        <v>288</v>
      </c>
    </row>
    <row r="37" spans="2:12" ht="15" customHeight="1" x14ac:dyDescent="0.3">
      <c r="B37" s="12" t="s">
        <v>289</v>
      </c>
      <c r="C37" s="37"/>
      <c r="D37" s="37"/>
      <c r="E37" s="37"/>
      <c r="F37" s="37"/>
      <c r="G37" s="22"/>
      <c r="H37" s="22"/>
      <c r="I37" s="22"/>
      <c r="J37" s="22"/>
      <c r="K37" s="22"/>
      <c r="L37" s="36" t="s">
        <v>290</v>
      </c>
    </row>
    <row r="38" spans="2:12" ht="15" customHeight="1" x14ac:dyDescent="0.3">
      <c r="B38" s="14" t="s">
        <v>286</v>
      </c>
      <c r="C38" s="33">
        <v>-186</v>
      </c>
      <c r="D38" s="33">
        <v>905</v>
      </c>
      <c r="E38" s="33">
        <v>1597</v>
      </c>
      <c r="F38" s="33">
        <v>2007</v>
      </c>
      <c r="G38" s="24">
        <f>G25-G36-G37</f>
        <v>2518.5146399999999</v>
      </c>
      <c r="H38" s="24">
        <f>H25-H36-H37</f>
        <v>3248.8246264319991</v>
      </c>
      <c r="I38" s="24">
        <f>I25-I36-I37</f>
        <v>4092.4239198796786</v>
      </c>
      <c r="J38" s="24">
        <f>J25-J36-J37</f>
        <v>5229.4541332948984</v>
      </c>
      <c r="K38" s="24" t="s">
        <v>291</v>
      </c>
      <c r="L38" s="34" t="s">
        <v>292</v>
      </c>
    </row>
    <row r="39" spans="2:12" ht="15" customHeight="1" x14ac:dyDescent="0.3">
      <c r="B39" s="39"/>
      <c r="C39" s="40"/>
      <c r="D39" s="40"/>
      <c r="E39" s="40"/>
      <c r="F39" s="40"/>
      <c r="G39" s="47"/>
      <c r="H39" s="47"/>
      <c r="I39" s="47"/>
      <c r="J39" s="47"/>
      <c r="K39" s="47"/>
      <c r="L39" s="41"/>
    </row>
    <row r="40" spans="2:12" ht="16.05" customHeight="1" x14ac:dyDescent="0.3">
      <c r="B40" s="231" t="s">
        <v>293</v>
      </c>
      <c r="C40" s="230"/>
      <c r="D40" s="230"/>
      <c r="E40" s="230"/>
      <c r="F40" s="230"/>
      <c r="G40" s="230"/>
      <c r="H40" s="230"/>
      <c r="I40" s="230"/>
      <c r="J40" s="230"/>
      <c r="K40" s="230"/>
      <c r="L40" s="48"/>
    </row>
    <row r="41" spans="2:12" ht="15" customHeight="1" x14ac:dyDescent="0.3">
      <c r="B41" s="12" t="s">
        <v>294</v>
      </c>
      <c r="C41" s="49">
        <v>197.3</v>
      </c>
      <c r="D41" s="49">
        <v>235.9</v>
      </c>
      <c r="E41" s="49">
        <v>292.3</v>
      </c>
      <c r="F41" s="49">
        <v>378.4</v>
      </c>
      <c r="G41" s="50">
        <v>477.8</v>
      </c>
      <c r="H41" s="50">
        <v>583</v>
      </c>
      <c r="I41" s="50">
        <v>699.6</v>
      </c>
      <c r="J41" s="51">
        <v>871</v>
      </c>
      <c r="K41" s="51" t="s">
        <v>295</v>
      </c>
      <c r="L41" s="36" t="s">
        <v>296</v>
      </c>
    </row>
    <row r="42" spans="2:12" ht="15" customHeight="1" x14ac:dyDescent="0.3">
      <c r="B42" s="14" t="s">
        <v>297</v>
      </c>
      <c r="C42" s="38">
        <v>0.56100000000000005</v>
      </c>
      <c r="D42" s="38">
        <v>0.6</v>
      </c>
      <c r="E42" s="38">
        <v>0.64300000000000002</v>
      </c>
      <c r="F42" s="38">
        <v>0.68</v>
      </c>
      <c r="G42" s="46">
        <v>0.71</v>
      </c>
      <c r="H42" s="46">
        <v>0.75</v>
      </c>
      <c r="I42" s="46">
        <v>0.79</v>
      </c>
      <c r="J42" s="46">
        <v>0.73</v>
      </c>
      <c r="K42" s="46" t="s">
        <v>298</v>
      </c>
      <c r="L42" s="34" t="s">
        <v>299</v>
      </c>
    </row>
    <row r="43" spans="2:12" ht="15" customHeight="1" x14ac:dyDescent="0.3">
      <c r="B43" s="12" t="s">
        <v>300</v>
      </c>
      <c r="C43" s="52">
        <v>2.0799999999999999E-2</v>
      </c>
      <c r="D43" s="52">
        <v>2.2100000000000002E-2</v>
      </c>
      <c r="E43" s="52">
        <v>2.23E-2</v>
      </c>
      <c r="F43" s="52">
        <v>2.3300000000000001E-2</v>
      </c>
      <c r="G43" s="53">
        <v>2.41E-2</v>
      </c>
      <c r="H43" s="53">
        <v>2.5000000000000001E-2</v>
      </c>
      <c r="I43" s="53">
        <v>2.5899999999999999E-2</v>
      </c>
      <c r="J43" s="27">
        <v>2.5000000000000001E-2</v>
      </c>
      <c r="K43" s="27" t="s">
        <v>301</v>
      </c>
      <c r="L43" s="36" t="s">
        <v>302</v>
      </c>
    </row>
    <row r="44" spans="2:12" ht="22.8" x14ac:dyDescent="0.3">
      <c r="B44" s="1" t="s">
        <v>303</v>
      </c>
      <c r="C44" s="4">
        <v>109.5</v>
      </c>
      <c r="D44" s="4">
        <v>144</v>
      </c>
      <c r="E44" s="4">
        <v>178</v>
      </c>
      <c r="F44" s="4">
        <v>205</v>
      </c>
      <c r="G44" s="4">
        <v>239</v>
      </c>
      <c r="H44" s="4">
        <v>267</v>
      </c>
      <c r="I44" s="4">
        <v>291</v>
      </c>
      <c r="J44" s="3">
        <v>340</v>
      </c>
      <c r="K44" s="3" t="s">
        <v>304</v>
      </c>
      <c r="L44" s="2" t="s">
        <v>305</v>
      </c>
    </row>
  </sheetData>
  <mergeCells count="6">
    <mergeCell ref="B40:K40"/>
    <mergeCell ref="B2:K2"/>
    <mergeCell ref="B6:K6"/>
    <mergeCell ref="B16:K16"/>
    <mergeCell ref="B34:K34"/>
    <mergeCell ref="B5:K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26"/>
  <sheetViews>
    <sheetView showGridLines="0" tabSelected="1" topLeftCell="A4" workbookViewId="0">
      <selection activeCell="G6" sqref="G6"/>
    </sheetView>
  </sheetViews>
  <sheetFormatPr defaultRowHeight="14.4" x14ac:dyDescent="0.3"/>
  <cols>
    <col min="1" max="1" width="1.44140625" customWidth="1"/>
    <col min="2" max="2" width="5" customWidth="1"/>
    <col min="3" max="3" width="30" customWidth="1"/>
    <col min="4" max="4" width="12" customWidth="1"/>
    <col min="5" max="5" width="22" customWidth="1"/>
    <col min="6" max="6" width="12" customWidth="1"/>
    <col min="7" max="9" width="14" customWidth="1"/>
    <col min="10" max="11" width="13" customWidth="1"/>
    <col min="12" max="12" width="44" customWidth="1"/>
    <col min="13" max="13" width="3" customWidth="1"/>
  </cols>
  <sheetData>
    <row r="2" spans="1:14" ht="22.05" customHeight="1" x14ac:dyDescent="0.3">
      <c r="B2" s="227" t="s">
        <v>306</v>
      </c>
      <c r="C2" s="224"/>
      <c r="D2" s="224"/>
      <c r="E2" s="224"/>
      <c r="F2" s="224"/>
      <c r="G2" s="224"/>
      <c r="H2" s="224"/>
      <c r="I2" s="224"/>
      <c r="J2" s="224"/>
      <c r="K2" s="224"/>
      <c r="L2" s="5"/>
    </row>
    <row r="3" spans="1:14" ht="12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4" ht="103.95" customHeight="1" x14ac:dyDescent="0.3">
      <c r="B4" s="235" t="s">
        <v>307</v>
      </c>
      <c r="C4" s="226"/>
      <c r="D4" s="226"/>
      <c r="E4" s="226"/>
      <c r="F4" s="226"/>
      <c r="G4" s="226"/>
      <c r="H4" s="226"/>
      <c r="I4" s="226"/>
      <c r="J4" s="226"/>
      <c r="K4" s="226"/>
    </row>
    <row r="5" spans="1:14" ht="12" customHeight="1" x14ac:dyDescent="0.3">
      <c r="A5" s="6"/>
      <c r="B5" s="6"/>
      <c r="C5" s="6"/>
      <c r="D5" s="6"/>
      <c r="E5" s="6"/>
      <c r="F5" s="6"/>
      <c r="G5" s="6">
        <f>+G11*12</f>
        <v>2460</v>
      </c>
      <c r="H5" s="6"/>
      <c r="I5" s="6"/>
      <c r="J5" s="6"/>
      <c r="K5" s="6"/>
      <c r="L5" s="6"/>
      <c r="M5" s="6"/>
      <c r="N5" s="6"/>
    </row>
    <row r="6" spans="1:14" ht="18" customHeight="1" x14ac:dyDescent="0.3">
      <c r="B6" s="7" t="s">
        <v>308</v>
      </c>
      <c r="C6" s="7" t="s">
        <v>309</v>
      </c>
      <c r="D6" s="7" t="s">
        <v>310</v>
      </c>
      <c r="E6" s="7" t="s">
        <v>311</v>
      </c>
      <c r="F6" s="7" t="s">
        <v>312</v>
      </c>
      <c r="G6" s="7" t="s">
        <v>313</v>
      </c>
      <c r="H6" s="7" t="s">
        <v>314</v>
      </c>
      <c r="I6" s="7" t="s">
        <v>315</v>
      </c>
      <c r="J6" s="7" t="s">
        <v>316</v>
      </c>
      <c r="K6" s="7" t="s">
        <v>317</v>
      </c>
      <c r="L6" s="7" t="s">
        <v>244</v>
      </c>
    </row>
    <row r="7" spans="1:14" ht="40.950000000000003" customHeight="1" x14ac:dyDescent="0.3">
      <c r="B7" s="157" t="s">
        <v>318</v>
      </c>
      <c r="C7" s="158" t="s">
        <v>319</v>
      </c>
      <c r="D7" s="157" t="s">
        <v>320</v>
      </c>
      <c r="E7" s="158"/>
      <c r="F7" s="157" t="s">
        <v>321</v>
      </c>
      <c r="G7" s="159">
        <f>'FINANCIAL MODEL'!F41</f>
        <v>378.4</v>
      </c>
      <c r="H7" s="159">
        <f>'FINANCIAL MODEL'!G41</f>
        <v>477.8</v>
      </c>
      <c r="I7" s="159">
        <f>'FINANCIAL MODEL'!I41</f>
        <v>699.6</v>
      </c>
      <c r="J7" s="160">
        <f>IFERROR((G7-H7)/ABS(H7),"-")</f>
        <v>-0.2080368354960235</v>
      </c>
      <c r="K7" s="161" t="str">
        <f t="shared" ref="K7:K15" si="0">IFERROR(IF((G7-H7)/ABS(H7)&gt;-0.05,"On Track",IF((G7-H7)/ABS(H7)&gt;-0.15,"Watch","Behind Plan")),"-")</f>
        <v>Behind Plan</v>
      </c>
      <c r="L7" s="162" t="s">
        <v>322</v>
      </c>
    </row>
    <row r="8" spans="1:14" ht="40.950000000000003" customHeight="1" x14ac:dyDescent="0.3">
      <c r="B8" s="163">
        <v>1</v>
      </c>
      <c r="C8" s="164" t="s">
        <v>323</v>
      </c>
      <c r="D8" s="163" t="s">
        <v>324</v>
      </c>
      <c r="E8" s="164"/>
      <c r="F8" s="163" t="s">
        <v>325</v>
      </c>
      <c r="G8" s="165">
        <f>'FINANCIAL MODEL'!F17</f>
        <v>11556</v>
      </c>
      <c r="H8" s="165">
        <f>'FINANCIAL MODEL'!G17</f>
        <v>14814.791999999999</v>
      </c>
      <c r="I8" s="165">
        <f>'FINANCIAL MODEL'!I17</f>
        <v>22121.210377727995</v>
      </c>
      <c r="J8" s="166">
        <f>IFERROR((G8-H8)/ABS(H8),"-")</f>
        <v>-0.21996879875195005</v>
      </c>
      <c r="K8" s="167" t="str">
        <f t="shared" si="0"/>
        <v>Behind Plan</v>
      </c>
      <c r="L8" s="168" t="s">
        <v>326</v>
      </c>
    </row>
    <row r="9" spans="1:14" ht="28.95" customHeight="1" x14ac:dyDescent="0.3">
      <c r="B9" s="169">
        <v>2</v>
      </c>
      <c r="C9" s="170" t="s">
        <v>327</v>
      </c>
      <c r="D9" s="169" t="s">
        <v>324</v>
      </c>
      <c r="E9" s="170"/>
      <c r="F9" s="169" t="s">
        <v>325</v>
      </c>
      <c r="G9" s="171">
        <f>'FINANCIAL MODEL'!F17-'FINANCIAL MODEL'!F41*'FINANCIAL MODEL'!F43*1000</f>
        <v>2739.2800000000007</v>
      </c>
      <c r="H9" s="171">
        <f>INPUTS!C60</f>
        <v>3299.8119999999999</v>
      </c>
      <c r="I9" s="171">
        <f>INPUTS!$C$61</f>
        <v>4001.5703777279959</v>
      </c>
      <c r="J9" s="172">
        <f>IFERROR((G9-H9)/ABS(H9),"-")</f>
        <v>-0.16986785913864161</v>
      </c>
      <c r="K9" s="169" t="str">
        <f t="shared" si="0"/>
        <v>Behind Plan</v>
      </c>
      <c r="L9" s="173" t="s">
        <v>328</v>
      </c>
    </row>
    <row r="10" spans="1:14" ht="40.950000000000003" customHeight="1" x14ac:dyDescent="0.3">
      <c r="B10" s="169">
        <v>2</v>
      </c>
      <c r="C10" s="170" t="s">
        <v>329</v>
      </c>
      <c r="D10" s="169" t="s">
        <v>324</v>
      </c>
      <c r="E10" s="170"/>
      <c r="F10" s="169" t="s">
        <v>325</v>
      </c>
      <c r="G10" s="171">
        <f>'FINANCIAL MODEL'!F41*'FINANCIAL MODEL'!F43*1000</f>
        <v>8816.7199999999993</v>
      </c>
      <c r="H10" s="171">
        <f>INPUTS!C56</f>
        <v>11514.98</v>
      </c>
      <c r="I10" s="171">
        <f>INPUTS!$C$57</f>
        <v>18119.64</v>
      </c>
      <c r="J10" s="172">
        <f>IFERROR((G10-H10)/ABS(H10),"-")</f>
        <v>-0.23432606917250401</v>
      </c>
      <c r="K10" s="169" t="str">
        <f t="shared" si="0"/>
        <v>Behind Plan</v>
      </c>
      <c r="L10" s="173" t="s">
        <v>330</v>
      </c>
    </row>
    <row r="11" spans="1:14" ht="28.95" customHeight="1" x14ac:dyDescent="0.3">
      <c r="B11" s="169">
        <v>2</v>
      </c>
      <c r="C11" s="170" t="s">
        <v>331</v>
      </c>
      <c r="D11" s="169" t="s">
        <v>324</v>
      </c>
      <c r="E11" s="170"/>
      <c r="F11" s="169" t="s">
        <v>325</v>
      </c>
      <c r="G11" s="174">
        <f>'FINANCIAL MODEL'!F44</f>
        <v>205</v>
      </c>
      <c r="H11" s="174">
        <f>'FINANCIAL MODEL'!G44</f>
        <v>239</v>
      </c>
      <c r="I11" s="174">
        <f>'FINANCIAL MODEL'!I44</f>
        <v>291</v>
      </c>
      <c r="J11" s="172">
        <f>IFERROR((G11-H11)/ABS(H11),"-")</f>
        <v>-0.14225941422594143</v>
      </c>
      <c r="K11" s="169" t="str">
        <f t="shared" si="0"/>
        <v>Watch</v>
      </c>
      <c r="L11" s="173" t="s">
        <v>332</v>
      </c>
    </row>
    <row r="12" spans="1:14" ht="40.950000000000003" customHeight="1" x14ac:dyDescent="0.3">
      <c r="B12" s="175">
        <v>1</v>
      </c>
      <c r="C12" s="176" t="s">
        <v>333</v>
      </c>
      <c r="D12" s="175" t="s">
        <v>334</v>
      </c>
      <c r="E12" s="176"/>
      <c r="F12" s="175" t="s">
        <v>325</v>
      </c>
      <c r="G12" s="177">
        <f>IFERROR('FINANCIAL MODEL'!F19/'FINANCIAL MODEL'!F17,"-")</f>
        <v>0.49809622706818968</v>
      </c>
      <c r="H12" s="177">
        <f>'FINANCIAL MODEL'!G8</f>
        <v>0.5</v>
      </c>
      <c r="I12" s="177">
        <f>IFERROR('FINANCIAL MODEL'!I19/'FINANCIAL MODEL'!I17,"-")</f>
        <v>0.51</v>
      </c>
      <c r="J12" s="178">
        <f t="shared" ref="J12:J18" si="1">IFERROR((G12-H12)*100,"-")</f>
        <v>-0.19037729318103214</v>
      </c>
      <c r="K12" s="179" t="str">
        <f t="shared" si="0"/>
        <v>On Track</v>
      </c>
      <c r="L12" s="180" t="s">
        <v>335</v>
      </c>
    </row>
    <row r="13" spans="1:14" ht="40.950000000000003" customHeight="1" x14ac:dyDescent="0.3">
      <c r="B13" s="169">
        <v>2</v>
      </c>
      <c r="C13" s="170" t="s">
        <v>336</v>
      </c>
      <c r="D13" s="169" t="s">
        <v>334</v>
      </c>
      <c r="E13" s="170"/>
      <c r="F13" s="169" t="s">
        <v>325</v>
      </c>
      <c r="G13" s="181">
        <v>0.8</v>
      </c>
      <c r="H13" s="181">
        <v>0.8</v>
      </c>
      <c r="I13" s="181">
        <v>0.82</v>
      </c>
      <c r="J13" s="182">
        <f t="shared" si="1"/>
        <v>0</v>
      </c>
      <c r="K13" s="169" t="str">
        <f t="shared" si="0"/>
        <v>On Track</v>
      </c>
      <c r="L13" s="173" t="s">
        <v>337</v>
      </c>
    </row>
    <row r="14" spans="1:14" ht="40.950000000000003" customHeight="1" x14ac:dyDescent="0.3">
      <c r="B14" s="169">
        <v>2</v>
      </c>
      <c r="C14" s="170" t="s">
        <v>338</v>
      </c>
      <c r="D14" s="169" t="s">
        <v>334</v>
      </c>
      <c r="E14" s="170"/>
      <c r="F14" s="169" t="s">
        <v>325</v>
      </c>
      <c r="G14" s="181">
        <v>0.375</v>
      </c>
      <c r="H14" s="181">
        <v>0.38</v>
      </c>
      <c r="I14" s="181">
        <v>0.4</v>
      </c>
      <c r="J14" s="182">
        <f t="shared" si="1"/>
        <v>-0.50000000000000044</v>
      </c>
      <c r="K14" s="169" t="str">
        <f t="shared" si="0"/>
        <v>On Track</v>
      </c>
      <c r="L14" s="173" t="s">
        <v>339</v>
      </c>
    </row>
    <row r="15" spans="1:14" ht="40.950000000000003" customHeight="1" x14ac:dyDescent="0.3">
      <c r="B15" s="175">
        <v>1</v>
      </c>
      <c r="C15" s="176" t="s">
        <v>340</v>
      </c>
      <c r="D15" s="175" t="s">
        <v>334</v>
      </c>
      <c r="E15" s="176"/>
      <c r="F15" s="175" t="s">
        <v>325</v>
      </c>
      <c r="G15" s="177">
        <f>'FINANCIAL MODEL'!F26</f>
        <v>0.17299999999999999</v>
      </c>
      <c r="H15" s="177">
        <f>'FINANCIAL MODEL'!G26</f>
        <v>0.187</v>
      </c>
      <c r="I15" s="177">
        <f>'FINANCIAL MODEL'!I26</f>
        <v>0.19999999999999998</v>
      </c>
      <c r="J15" s="178">
        <f t="shared" si="1"/>
        <v>-1.4000000000000012</v>
      </c>
      <c r="K15" s="179" t="str">
        <f t="shared" si="0"/>
        <v>Watch</v>
      </c>
      <c r="L15" s="180" t="s">
        <v>341</v>
      </c>
    </row>
    <row r="16" spans="1:14" ht="15" customHeight="1" x14ac:dyDescent="0.3">
      <c r="B16" s="169">
        <v>2</v>
      </c>
      <c r="C16" s="170" t="s">
        <v>342</v>
      </c>
      <c r="D16" s="169" t="s">
        <v>343</v>
      </c>
      <c r="E16" s="170"/>
      <c r="F16" s="169" t="s">
        <v>325</v>
      </c>
      <c r="G16" s="181">
        <v>0.123</v>
      </c>
      <c r="H16" s="181">
        <f>'FINANCIAL MODEL'!G9</f>
        <v>0.125</v>
      </c>
      <c r="I16" s="181">
        <f>'FINANCIAL MODEL'!I9</f>
        <v>0.11799999999999999</v>
      </c>
      <c r="J16" s="182">
        <f t="shared" si="1"/>
        <v>-0.20000000000000018</v>
      </c>
      <c r="K16" s="169" t="str">
        <f>IFERROR(IF((G16-H16)/ABS(H16)&lt;0.05,"On Track",IF((G16-H16)/ABS(H16)&lt;0.15,"Watch","Off Plan")),"-")</f>
        <v>On Track</v>
      </c>
      <c r="L16" s="173" t="s">
        <v>344</v>
      </c>
    </row>
    <row r="17" spans="2:12" ht="40.950000000000003" customHeight="1" x14ac:dyDescent="0.3">
      <c r="B17" s="169">
        <v>2</v>
      </c>
      <c r="C17" s="170" t="s">
        <v>345</v>
      </c>
      <c r="D17" s="169" t="s">
        <v>343</v>
      </c>
      <c r="E17" s="170"/>
      <c r="F17" s="169" t="s">
        <v>325</v>
      </c>
      <c r="G17" s="181">
        <v>0.108</v>
      </c>
      <c r="H17" s="181">
        <f>'FINANCIAL MODEL'!G10</f>
        <v>0.113</v>
      </c>
      <c r="I17" s="181">
        <f>'FINANCIAL MODEL'!I10</f>
        <v>0.115</v>
      </c>
      <c r="J17" s="182">
        <f t="shared" si="1"/>
        <v>-0.50000000000000044</v>
      </c>
      <c r="K17" s="169" t="str">
        <f>IFERROR(IF((G17-H17)/ABS(H17)&lt;0.05,"On Track",IF((G17-H17)/ABS(H17)&lt;0.15,"Watch","Off Plan")),"-")</f>
        <v>On Track</v>
      </c>
      <c r="L17" s="173" t="s">
        <v>346</v>
      </c>
    </row>
    <row r="18" spans="2:12" ht="28.95" customHeight="1" x14ac:dyDescent="0.3">
      <c r="B18" s="169">
        <v>2</v>
      </c>
      <c r="C18" s="170" t="s">
        <v>347</v>
      </c>
      <c r="D18" s="169" t="s">
        <v>343</v>
      </c>
      <c r="E18" s="170"/>
      <c r="F18" s="169" t="s">
        <v>325</v>
      </c>
      <c r="G18" s="181">
        <v>0.32400000000000001</v>
      </c>
      <c r="H18" s="181">
        <f>IFERROR('FINANCIAL MODEL'!G24/'FINANCIAL MODEL'!G17,"-")</f>
        <v>0.313</v>
      </c>
      <c r="I18" s="181">
        <f>IFERROR('FINANCIAL MODEL'!I24/'FINANCIAL MODEL'!I17,"-")</f>
        <v>0.31</v>
      </c>
      <c r="J18" s="182">
        <f t="shared" si="1"/>
        <v>1.100000000000001</v>
      </c>
      <c r="K18" s="169" t="str">
        <f>IFERROR(IF((G18-H18)/ABS(H18)&lt;0.05,"On Track",IF((G18-H18)/ABS(H18)&lt;0.15,"Watch","Off Plan")),"-")</f>
        <v>On Track</v>
      </c>
      <c r="L18" s="173" t="s">
        <v>348</v>
      </c>
    </row>
    <row r="19" spans="2:12" ht="15" customHeight="1" x14ac:dyDescent="0.3">
      <c r="B19" s="175">
        <v>1</v>
      </c>
      <c r="C19" s="176" t="s">
        <v>349</v>
      </c>
      <c r="D19" s="175" t="s">
        <v>324</v>
      </c>
      <c r="E19" s="176"/>
      <c r="F19" s="175" t="s">
        <v>321</v>
      </c>
      <c r="G19" s="183"/>
      <c r="H19" s="183"/>
      <c r="I19" s="184"/>
      <c r="J19" s="185"/>
      <c r="K19" s="179" t="s">
        <v>350</v>
      </c>
      <c r="L19" s="180"/>
    </row>
    <row r="20" spans="2:12" ht="28.95" customHeight="1" x14ac:dyDescent="0.3">
      <c r="B20" s="169">
        <v>2</v>
      </c>
      <c r="C20" s="170" t="s">
        <v>351</v>
      </c>
      <c r="D20" s="169" t="s">
        <v>352</v>
      </c>
      <c r="E20" s="170"/>
      <c r="F20" s="169" t="s">
        <v>321</v>
      </c>
      <c r="G20" s="181">
        <f>'FINANCIAL MODEL'!F42</f>
        <v>0.68</v>
      </c>
      <c r="H20" s="181">
        <f>'FINANCIAL MODEL'!G42</f>
        <v>0.71</v>
      </c>
      <c r="I20" s="181">
        <f>'FINANCIAL MODEL'!I42</f>
        <v>0.79</v>
      </c>
      <c r="J20" s="182">
        <f>IFERROR((G20-H20)*100,"-")</f>
        <v>-2.9999999999999916</v>
      </c>
      <c r="K20" s="169" t="str">
        <f>IFERROR(IF((G20-H20)/ABS(H20)&gt;-0.05,"On Track",IF((G20-H20)/ABS(H20)&gt;-0.15,"Watch","Behind Plan")),"-")</f>
        <v>On Track</v>
      </c>
      <c r="L20" s="173" t="s">
        <v>353</v>
      </c>
    </row>
    <row r="21" spans="2:12" ht="28.95" customHeight="1" x14ac:dyDescent="0.3">
      <c r="B21" s="169">
        <v>2</v>
      </c>
      <c r="C21" s="170" t="s">
        <v>354</v>
      </c>
      <c r="D21" s="169" t="s">
        <v>352</v>
      </c>
      <c r="E21" s="170"/>
      <c r="F21" s="169" t="s">
        <v>321</v>
      </c>
      <c r="G21" s="186">
        <f>'FINANCIAL MODEL'!F43</f>
        <v>2.3300000000000001E-2</v>
      </c>
      <c r="H21" s="186">
        <f>'FINANCIAL MODEL'!G43</f>
        <v>2.41E-2</v>
      </c>
      <c r="I21" s="186">
        <f>'FINANCIAL MODEL'!I43</f>
        <v>2.5899999999999999E-2</v>
      </c>
      <c r="J21" s="182">
        <f>IFERROR((G21-H21)*100,"-")</f>
        <v>-7.9999999999999863E-2</v>
      </c>
      <c r="K21" s="169" t="str">
        <f>IFERROR(IF((G21-H21)/ABS(H21)&gt;-0.05,"On Track",IF((G21-H21)/ABS(H21)&gt;-0.15,"Watch","Behind Plan")),"-")</f>
        <v>On Track</v>
      </c>
      <c r="L21" s="173" t="s">
        <v>302</v>
      </c>
    </row>
    <row r="22" spans="2:12" ht="40.950000000000003" customHeight="1" x14ac:dyDescent="0.3">
      <c r="B22" s="169">
        <v>2</v>
      </c>
      <c r="C22" s="170" t="s">
        <v>355</v>
      </c>
      <c r="D22" s="169" t="s">
        <v>324</v>
      </c>
      <c r="E22" s="170"/>
      <c r="F22" s="169" t="s">
        <v>321</v>
      </c>
      <c r="G22" s="181"/>
      <c r="H22" s="181">
        <v>0.6</v>
      </c>
      <c r="I22" s="181">
        <v>0.85</v>
      </c>
      <c r="J22" s="187"/>
      <c r="K22" s="169"/>
      <c r="L22" s="173" t="s">
        <v>356</v>
      </c>
    </row>
    <row r="23" spans="2:12" ht="28.95" customHeight="1" x14ac:dyDescent="0.3">
      <c r="B23" s="169">
        <v>2</v>
      </c>
      <c r="C23" s="170" t="s">
        <v>357</v>
      </c>
      <c r="D23" s="169" t="s">
        <v>324</v>
      </c>
      <c r="E23" s="170"/>
      <c r="F23" s="169" t="s">
        <v>321</v>
      </c>
      <c r="G23" s="181"/>
      <c r="H23" s="181">
        <v>0.35</v>
      </c>
      <c r="I23" s="181">
        <v>0.5</v>
      </c>
      <c r="J23" s="187"/>
      <c r="K23" s="169"/>
      <c r="L23" s="173" t="s">
        <v>358</v>
      </c>
    </row>
    <row r="24" spans="2:12" ht="40.950000000000003" customHeight="1" x14ac:dyDescent="0.3">
      <c r="B24" s="175">
        <v>1</v>
      </c>
      <c r="C24" s="176" t="s">
        <v>236</v>
      </c>
      <c r="D24" s="175" t="s">
        <v>359</v>
      </c>
      <c r="E24" s="176"/>
      <c r="F24" s="175" t="s">
        <v>325</v>
      </c>
      <c r="G24" s="184">
        <f>'FINANCIAL MODEL'!F38</f>
        <v>2007</v>
      </c>
      <c r="H24" s="184">
        <f>'FINANCIAL MODEL'!G38</f>
        <v>2518.5146399999999</v>
      </c>
      <c r="I24" s="184">
        <f>'FINANCIAL MODEL'!I38</f>
        <v>4092.4239198796786</v>
      </c>
      <c r="J24" s="188">
        <f>IFERROR((G24-H24)/ABS(H24),"-")</f>
        <v>-0.20310171395311002</v>
      </c>
      <c r="K24" s="179" t="str">
        <f>IFERROR(IF((G24-H24)/ABS(H24)&gt;-0.05,"On Track",IF((G24-H24)/ABS(H24)&gt;-0.15,"Watch","Behind Plan")),"-")</f>
        <v>Behind Plan</v>
      </c>
      <c r="L24" s="180" t="s">
        <v>360</v>
      </c>
    </row>
    <row r="25" spans="2:12" ht="40.950000000000003" customHeight="1" x14ac:dyDescent="0.3">
      <c r="B25" s="169">
        <v>2</v>
      </c>
      <c r="C25" s="170" t="s">
        <v>361</v>
      </c>
      <c r="D25" s="169" t="s">
        <v>359</v>
      </c>
      <c r="E25" s="170"/>
      <c r="F25" s="169" t="s">
        <v>325</v>
      </c>
      <c r="G25" s="181">
        <f>IFERROR('FINANCIAL MODEL'!F38/'FINANCIAL MODEL'!F17,"-")</f>
        <v>0.17367601246105918</v>
      </c>
      <c r="H25" s="181">
        <f>IFERROR('FINANCIAL MODEL'!G38/'FINANCIAL MODEL'!G17,"-")</f>
        <v>0.16999999999999998</v>
      </c>
      <c r="I25" s="181">
        <f>IFERROR('FINANCIAL MODEL'!I38/'FINANCIAL MODEL'!I17,"-")</f>
        <v>0.18499999999999997</v>
      </c>
      <c r="J25" s="182">
        <f>IFERROR((G25-H25)*100,"-")</f>
        <v>0.36760124610591971</v>
      </c>
      <c r="K25" s="169" t="str">
        <f>IFERROR(IF((G25-H25)/ABS(H25)&gt;-0.05,"On Track",IF((G25-H25)/ABS(H25)&gt;-0.15,"Watch","Behind Plan")),"-")</f>
        <v>On Track</v>
      </c>
      <c r="L25" s="173" t="s">
        <v>362</v>
      </c>
    </row>
    <row r="26" spans="2:12" ht="28.95" customHeight="1" x14ac:dyDescent="0.3">
      <c r="B26" s="169">
        <v>2</v>
      </c>
      <c r="C26" s="170" t="s">
        <v>363</v>
      </c>
      <c r="D26" s="169" t="s">
        <v>359</v>
      </c>
      <c r="E26" s="170"/>
      <c r="F26" s="169" t="s">
        <v>325</v>
      </c>
      <c r="G26" s="181">
        <v>1.7000000000000001E-2</v>
      </c>
      <c r="H26" s="181">
        <f>'FINANCIAL MODEL'!G14</f>
        <v>1.7000000000000001E-2</v>
      </c>
      <c r="I26" s="181">
        <f>'FINANCIAL MODEL'!I14</f>
        <v>1.4999999999999999E-2</v>
      </c>
      <c r="J26" s="182">
        <f>IFERROR((G26-H26)*100,"-")</f>
        <v>0</v>
      </c>
      <c r="K26" s="169" t="str">
        <f>IFERROR(IF((G26-H26)/ABS(H26)&lt;0.05,"On Track",IF((G26-H26)/ABS(H26)&lt;0.15,"Watch","Off Plan")),"-")</f>
        <v>On Track</v>
      </c>
      <c r="L26" s="173" t="s">
        <v>364</v>
      </c>
    </row>
  </sheetData>
  <mergeCells count="2">
    <mergeCell ref="B4:K4"/>
    <mergeCell ref="B2:K2"/>
  </mergeCells>
  <conditionalFormatting sqref="K7:K26">
    <cfRule type="containsText" dxfId="2" priority="1" operator="containsText" text="On Track">
      <formula>NOT(ISERROR(SEARCH("On Track",K7)))</formula>
    </cfRule>
    <cfRule type="containsText" dxfId="1" priority="2" operator="containsText" text="Watch">
      <formula>NOT(ISERROR(SEARCH("Watch",K7)))</formula>
    </cfRule>
    <cfRule type="containsText" dxfId="0" priority="3" operator="containsText" text="Plan">
      <formula>NOT(ISERROR(SEARCH("Plan",K7)))</formula>
    </cfRule>
  </conditionalFormatting>
  <dataValidations disablePrompts="1" count="1">
    <dataValidation type="list" sqref="K7:K26" xr:uid="{00000000-0002-0000-0400-000000000000}">
      <formula1>"On Track,Watch,Behind Plan,N/A"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35"/>
  <sheetViews>
    <sheetView workbookViewId="0">
      <pane xSplit="5" ySplit="6" topLeftCell="F7" activePane="bottomRight" state="frozen"/>
      <selection pane="topRight"/>
      <selection pane="bottomLeft"/>
      <selection pane="bottomRight" activeCell="G26" sqref="G26"/>
    </sheetView>
  </sheetViews>
  <sheetFormatPr defaultRowHeight="14.4" x14ac:dyDescent="0.3"/>
  <cols>
    <col min="1" max="1" width="1.44140625" customWidth="1"/>
    <col min="2" max="2" width="34" customWidth="1"/>
    <col min="3" max="3" width="9" customWidth="1"/>
    <col min="4" max="4" width="22" customWidth="1"/>
    <col min="5" max="5" width="7" customWidth="1"/>
    <col min="6" max="9" width="10" customWidth="1"/>
    <col min="10" max="10" width="12" customWidth="1"/>
    <col min="11" max="11" width="9" customWidth="1"/>
    <col min="12" max="12" width="12" customWidth="1"/>
    <col min="13" max="13" width="13" customWidth="1"/>
    <col min="14" max="14" width="10" customWidth="1"/>
  </cols>
  <sheetData>
    <row r="1" spans="2:14" ht="22.05" customHeight="1" x14ac:dyDescent="0.3">
      <c r="B1" s="89" t="s">
        <v>365</v>
      </c>
    </row>
    <row r="2" spans="2:14" ht="13.05" customHeight="1" x14ac:dyDescent="0.3">
      <c r="B2" s="58" t="s">
        <v>366</v>
      </c>
    </row>
    <row r="3" spans="2:14" ht="8.4" customHeight="1" x14ac:dyDescent="0.3">
      <c r="B3" s="59"/>
    </row>
    <row r="4" spans="2:14" ht="6" customHeight="1" x14ac:dyDescent="0.3"/>
    <row r="5" spans="2:14" ht="16.05" customHeight="1" x14ac:dyDescent="0.3">
      <c r="B5" s="60" t="s">
        <v>367</v>
      </c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</row>
    <row r="6" spans="2:14" ht="34.049999999999997" customHeight="1" x14ac:dyDescent="0.3">
      <c r="B6" s="90" t="s">
        <v>368</v>
      </c>
      <c r="C6" s="91" t="s">
        <v>30</v>
      </c>
      <c r="D6" s="91" t="s">
        <v>369</v>
      </c>
      <c r="E6" s="91" t="s">
        <v>370</v>
      </c>
      <c r="F6" s="91" t="s">
        <v>188</v>
      </c>
      <c r="G6" s="91" t="s">
        <v>371</v>
      </c>
      <c r="H6" s="91" t="s">
        <v>372</v>
      </c>
      <c r="I6" s="91" t="s">
        <v>373</v>
      </c>
      <c r="J6" s="91" t="s">
        <v>374</v>
      </c>
      <c r="K6" s="91" t="s">
        <v>375</v>
      </c>
      <c r="L6" s="91" t="s">
        <v>376</v>
      </c>
      <c r="M6" s="91" t="s">
        <v>377</v>
      </c>
      <c r="N6" s="91" t="s">
        <v>378</v>
      </c>
    </row>
    <row r="7" spans="2:14" ht="15" customHeight="1" x14ac:dyDescent="0.3">
      <c r="B7" s="84" t="s">
        <v>379</v>
      </c>
      <c r="C7" s="135" t="s">
        <v>380</v>
      </c>
      <c r="D7" s="136" t="s">
        <v>381</v>
      </c>
      <c r="E7" s="135" t="s">
        <v>382</v>
      </c>
      <c r="G7" s="137">
        <f>INPUTS!$C$56</f>
        <v>11514.98</v>
      </c>
      <c r="H7" s="137">
        <f>INPUTS!$C$57</f>
        <v>18119.64</v>
      </c>
      <c r="I7" s="138">
        <f>H7-G7</f>
        <v>6604.66</v>
      </c>
    </row>
    <row r="8" spans="2:14" ht="67.05" customHeight="1" x14ac:dyDescent="0.3">
      <c r="B8" s="189" t="s">
        <v>383</v>
      </c>
      <c r="C8" s="189"/>
      <c r="D8" s="190" t="s">
        <v>384</v>
      </c>
      <c r="E8" s="189"/>
      <c r="F8" s="189"/>
      <c r="G8" s="189"/>
      <c r="H8" s="189"/>
      <c r="I8" s="189"/>
      <c r="J8" s="189"/>
      <c r="K8" s="189"/>
      <c r="L8" s="189"/>
      <c r="M8" s="189"/>
      <c r="N8" s="189"/>
    </row>
    <row r="9" spans="2:14" ht="13.95" customHeight="1" x14ac:dyDescent="0.3">
      <c r="B9" s="62" t="s">
        <v>385</v>
      </c>
      <c r="C9" s="63" t="s">
        <v>386</v>
      </c>
      <c r="D9" s="139" t="s">
        <v>387</v>
      </c>
      <c r="E9" s="64" t="s">
        <v>388</v>
      </c>
      <c r="F9" s="65">
        <f>'FINANCIAL MODEL'!F41*INPUTS!$C$68</f>
        <v>151.35999999999999</v>
      </c>
      <c r="G9" s="65">
        <f>INPUTS!$C$48*INPUTS!$C$68</f>
        <v>191.12</v>
      </c>
      <c r="H9" s="65">
        <f>INPUTS!$C$49*INPUTS!$C$68</f>
        <v>279.84000000000003</v>
      </c>
      <c r="I9" s="65">
        <f>H9-G9</f>
        <v>88.720000000000027</v>
      </c>
      <c r="J9" s="66">
        <f>I9*(INPUTS!$C$50/10000)*1000</f>
        <v>2138.1520000000005</v>
      </c>
      <c r="K9" s="67">
        <f>INPUTS!$C$75</f>
        <v>0.214</v>
      </c>
      <c r="L9" s="66">
        <f>J9*K9</f>
        <v>457.56452800000011</v>
      </c>
      <c r="M9" s="66">
        <f>L9*INPUTS!$C$18</f>
        <v>22191.879608000007</v>
      </c>
      <c r="N9" s="68">
        <f>M9/INPUTS!$C$21</f>
        <v>0.15675663180498561</v>
      </c>
    </row>
    <row r="10" spans="2:14" ht="13.95" customHeight="1" x14ac:dyDescent="0.3">
      <c r="B10" s="69" t="s">
        <v>389</v>
      </c>
      <c r="C10" s="70" t="s">
        <v>386</v>
      </c>
      <c r="D10" s="140" t="s">
        <v>390</v>
      </c>
      <c r="E10" s="71" t="s">
        <v>388</v>
      </c>
      <c r="F10" s="72">
        <f>'FINANCIAL MODEL'!F41*INPUTS!$C$69</f>
        <v>113.52</v>
      </c>
      <c r="G10" s="72">
        <f>INPUTS!$C$48*INPUTS!$C$69</f>
        <v>143.34</v>
      </c>
      <c r="H10" s="72">
        <f>INPUTS!$C$49*INPUTS!$C$69</f>
        <v>209.88</v>
      </c>
      <c r="I10" s="72">
        <f>H10-G10</f>
        <v>66.539999999999992</v>
      </c>
      <c r="J10" s="73">
        <f>I10*(INPUTS!$C$50/10000)*1000</f>
        <v>1603.6139999999998</v>
      </c>
      <c r="K10" s="74">
        <f>INPUTS!$C$75</f>
        <v>0.214</v>
      </c>
      <c r="L10" s="73">
        <f>J10*K10</f>
        <v>343.17339599999997</v>
      </c>
      <c r="M10" s="73">
        <f>L10*INPUTS!$C$18</f>
        <v>16643.909705999999</v>
      </c>
      <c r="N10" s="75">
        <f>M10/INPUTS!$C$21</f>
        <v>0.11756747385373915</v>
      </c>
    </row>
    <row r="11" spans="2:14" ht="13.95" customHeight="1" x14ac:dyDescent="0.3">
      <c r="B11" s="62" t="s">
        <v>391</v>
      </c>
      <c r="C11" s="76" t="s">
        <v>392</v>
      </c>
      <c r="D11" s="139" t="s">
        <v>393</v>
      </c>
      <c r="E11" s="64" t="s">
        <v>388</v>
      </c>
      <c r="F11" s="65">
        <f>'FINANCIAL MODEL'!F41*INPUTS!$C$70</f>
        <v>75.679999999999993</v>
      </c>
      <c r="G11" s="65">
        <f>INPUTS!$C$48*INPUTS!$C$70</f>
        <v>95.56</v>
      </c>
      <c r="H11" s="65">
        <f>INPUTS!$C$49*INPUTS!$C$70</f>
        <v>139.92000000000002</v>
      </c>
      <c r="I11" s="65">
        <f>H11-G11</f>
        <v>44.360000000000014</v>
      </c>
      <c r="J11" s="66">
        <f>I11*(INPUTS!$C$50/10000)*1000</f>
        <v>1069.0760000000002</v>
      </c>
      <c r="K11" s="67">
        <f>INPUTS!$C$75</f>
        <v>0.214</v>
      </c>
      <c r="L11" s="66">
        <f>J11*K11</f>
        <v>228.78226400000005</v>
      </c>
      <c r="M11" s="66">
        <f>L11*INPUTS!$C$18</f>
        <v>11095.939804000003</v>
      </c>
      <c r="N11" s="68">
        <f>M11/INPUTS!$C$21</f>
        <v>7.8378315902492807E-2</v>
      </c>
    </row>
    <row r="12" spans="2:14" ht="13.95" customHeight="1" x14ac:dyDescent="0.3">
      <c r="B12" s="69" t="s">
        <v>394</v>
      </c>
      <c r="C12" s="77" t="s">
        <v>392</v>
      </c>
      <c r="D12" s="140" t="s">
        <v>395</v>
      </c>
      <c r="E12" s="71" t="s">
        <v>388</v>
      </c>
      <c r="F12" s="72">
        <f>'FINANCIAL MODEL'!F41*INPUTS!$C$71</f>
        <v>37.839999999999996</v>
      </c>
      <c r="G12" s="72">
        <f>INPUTS!$C$48*INPUTS!$C$71</f>
        <v>47.78</v>
      </c>
      <c r="H12" s="72">
        <f>INPUTS!$C$49*INPUTS!$C$71</f>
        <v>69.960000000000008</v>
      </c>
      <c r="I12" s="72">
        <f>H12-G12</f>
        <v>22.180000000000007</v>
      </c>
      <c r="J12" s="73">
        <f>I12*(INPUTS!$C$50/10000)*1000</f>
        <v>534.53800000000012</v>
      </c>
      <c r="K12" s="74">
        <f>INPUTS!$C$75</f>
        <v>0.214</v>
      </c>
      <c r="L12" s="73">
        <f>J12*K12</f>
        <v>114.39113200000003</v>
      </c>
      <c r="M12" s="73">
        <f>L12*INPUTS!$C$18</f>
        <v>5547.9699020000016</v>
      </c>
      <c r="N12" s="75">
        <f>M12/INPUTS!$C$21</f>
        <v>3.9189157951246403E-2</v>
      </c>
    </row>
    <row r="13" spans="2:14" ht="13.95" customHeight="1" x14ac:dyDescent="0.3">
      <c r="B13" s="191" t="s">
        <v>396</v>
      </c>
      <c r="C13" s="192"/>
      <c r="D13" s="193" t="s">
        <v>397</v>
      </c>
      <c r="E13" s="192" t="s">
        <v>388</v>
      </c>
      <c r="F13" s="194"/>
      <c r="G13" s="195">
        <f>INPUTS!$C$48</f>
        <v>477.8</v>
      </c>
      <c r="H13" s="195">
        <f>INPUTS!$C$49</f>
        <v>699.6</v>
      </c>
      <c r="I13" s="196">
        <f>H13-G13</f>
        <v>221.8</v>
      </c>
      <c r="J13" s="197">
        <f>SUM(J9:J12)</f>
        <v>5345.380000000001</v>
      </c>
      <c r="K13" s="198">
        <f>INPUTS!$C$75</f>
        <v>0.214</v>
      </c>
      <c r="L13" s="197">
        <f>J13*K13</f>
        <v>1143.9113200000002</v>
      </c>
      <c r="M13" s="197">
        <f>L13*INPUTS!$C$18</f>
        <v>55479.699020000007</v>
      </c>
      <c r="N13" s="199">
        <f>M13/INPUTS!$C$21</f>
        <v>0.39189157951246395</v>
      </c>
    </row>
    <row r="14" spans="2:14" ht="12" customHeight="1" x14ac:dyDescent="0.3">
      <c r="B14" s="189" t="s">
        <v>398</v>
      </c>
      <c r="C14" s="189"/>
      <c r="D14" s="189" t="s">
        <v>399</v>
      </c>
      <c r="E14" s="189"/>
      <c r="F14" s="189"/>
      <c r="G14" s="189"/>
      <c r="H14" s="189"/>
      <c r="I14" s="189"/>
      <c r="J14" s="189"/>
      <c r="K14" s="189"/>
      <c r="L14" s="189"/>
      <c r="M14" s="189"/>
      <c r="N14" s="189"/>
    </row>
    <row r="15" spans="2:14" ht="13.95" customHeight="1" x14ac:dyDescent="0.3">
      <c r="B15" s="62" t="s">
        <v>400</v>
      </c>
      <c r="C15" s="64" t="s">
        <v>401</v>
      </c>
      <c r="D15" s="139" t="s">
        <v>402</v>
      </c>
      <c r="E15" s="64" t="s">
        <v>403</v>
      </c>
      <c r="F15" s="67">
        <f>'FINANCIAL MODEL'!F42</f>
        <v>0.68</v>
      </c>
      <c r="G15" s="67">
        <f>INPUTS!$C$52</f>
        <v>0.71</v>
      </c>
      <c r="H15" s="67">
        <f>INPUTS!$C$53</f>
        <v>0.79</v>
      </c>
      <c r="I15" s="200">
        <f>(H15-G15)*100</f>
        <v>8.0000000000000071</v>
      </c>
      <c r="J15" s="66">
        <f>(H15-G15)*100*INPUTS!$C$65*INPUTS!$C$49/INPUTS!$C$62</f>
        <v>990.97674418604743</v>
      </c>
      <c r="K15" s="67">
        <f>INPUTS!$C$75</f>
        <v>0.214</v>
      </c>
      <c r="L15" s="66">
        <f>J15*K15</f>
        <v>212.06902325581416</v>
      </c>
      <c r="M15" s="66">
        <f>L15*INPUTS!$C$18</f>
        <v>10285.347627906987</v>
      </c>
      <c r="N15" s="68">
        <f>M15/INPUTS!$C$21</f>
        <v>7.2652541360799239E-2</v>
      </c>
    </row>
    <row r="16" spans="2:14" ht="13.95" customHeight="1" x14ac:dyDescent="0.3">
      <c r="B16" s="69" t="s">
        <v>404</v>
      </c>
      <c r="C16" s="71" t="s">
        <v>380</v>
      </c>
      <c r="D16" s="140" t="s">
        <v>405</v>
      </c>
      <c r="E16" s="71" t="s">
        <v>406</v>
      </c>
      <c r="J16" s="73">
        <f>J17-J15</f>
        <v>268.30325581395141</v>
      </c>
      <c r="K16" s="74">
        <f>INPUTS!$C$75</f>
        <v>0.214</v>
      </c>
      <c r="L16" s="73">
        <f>J16*K16</f>
        <v>57.4168967441856</v>
      </c>
      <c r="M16" s="73">
        <f>L16*INPUTS!$C$18</f>
        <v>2784.7194920930015</v>
      </c>
      <c r="N16" s="75">
        <f>M16/INPUTS!$C$21</f>
        <v>1.9670404481863978E-2</v>
      </c>
    </row>
    <row r="17" spans="2:14" ht="13.95" customHeight="1" x14ac:dyDescent="0.3">
      <c r="B17" s="191" t="s">
        <v>407</v>
      </c>
      <c r="C17" s="192"/>
      <c r="D17" s="193" t="s">
        <v>408</v>
      </c>
      <c r="E17" s="192" t="s">
        <v>409</v>
      </c>
      <c r="F17" s="194"/>
      <c r="G17" s="195">
        <f>INPUTS!$C$50</f>
        <v>241</v>
      </c>
      <c r="H17" s="195">
        <f>INPUTS!$C$51</f>
        <v>259</v>
      </c>
      <c r="I17" s="196">
        <f>H17-G17</f>
        <v>18</v>
      </c>
      <c r="J17" s="197">
        <f>INPUTS!$C$57-INPUTS!$C$56-J13</f>
        <v>1259.2799999999988</v>
      </c>
      <c r="K17" s="198">
        <f>INPUTS!$C$75</f>
        <v>0.214</v>
      </c>
      <c r="L17" s="197">
        <f>J17*K17</f>
        <v>269.48591999999974</v>
      </c>
      <c r="M17" s="197">
        <f>L17*INPUTS!$C$18</f>
        <v>13070.067119999987</v>
      </c>
      <c r="N17" s="199">
        <f>M17/INPUTS!$C$21</f>
        <v>9.2322945842663207E-2</v>
      </c>
    </row>
    <row r="18" spans="2:14" ht="13.95" customHeight="1" x14ac:dyDescent="0.3">
      <c r="B18" s="201" t="s">
        <v>410</v>
      </c>
      <c r="C18" s="202" t="s">
        <v>380</v>
      </c>
      <c r="D18" s="201"/>
      <c r="E18" s="202" t="s">
        <v>382</v>
      </c>
      <c r="G18" s="203">
        <f>INPUTS!$C$56</f>
        <v>11514.98</v>
      </c>
      <c r="H18" s="203">
        <f>INPUTS!$C$57</f>
        <v>18119.64</v>
      </c>
      <c r="I18" s="203">
        <f>H18-G18</f>
        <v>6604.66</v>
      </c>
      <c r="J18" s="204">
        <f>J13+J17</f>
        <v>6604.66</v>
      </c>
      <c r="K18" s="204">
        <f>L18</f>
        <v>1413.3972399999998</v>
      </c>
      <c r="L18" s="204">
        <f>L13+L17</f>
        <v>1413.3972399999998</v>
      </c>
      <c r="M18" s="204">
        <f>L18*INPUTS!$C$18</f>
        <v>68549.766139999992</v>
      </c>
      <c r="N18" s="205">
        <f>M18/INPUTS!$C$21</f>
        <v>0.4842145253551271</v>
      </c>
    </row>
    <row r="19" spans="2:14" ht="6" customHeight="1" x14ac:dyDescent="0.3"/>
    <row r="20" spans="2:14" ht="15" customHeight="1" x14ac:dyDescent="0.3">
      <c r="B20" s="84" t="s">
        <v>411</v>
      </c>
      <c r="C20" s="135" t="s">
        <v>380</v>
      </c>
      <c r="D20" s="136" t="s">
        <v>412</v>
      </c>
      <c r="E20" s="135" t="s">
        <v>382</v>
      </c>
      <c r="G20" s="137">
        <f>INPUTS!$C$60</f>
        <v>3299.8119999999999</v>
      </c>
      <c r="H20" s="137">
        <f>INPUTS!$C$61</f>
        <v>4001.5703777279959</v>
      </c>
      <c r="I20" s="138">
        <f>H20-G20</f>
        <v>701.75837772799605</v>
      </c>
    </row>
    <row r="21" spans="2:14" ht="10.95" customHeight="1" x14ac:dyDescent="0.3">
      <c r="B21" s="58" t="s">
        <v>413</v>
      </c>
    </row>
    <row r="22" spans="2:14" ht="13.95" customHeight="1" x14ac:dyDescent="0.3">
      <c r="B22" s="69" t="s">
        <v>414</v>
      </c>
      <c r="C22" s="71" t="s">
        <v>380</v>
      </c>
      <c r="D22" s="140" t="s">
        <v>415</v>
      </c>
      <c r="E22" s="71" t="s">
        <v>416</v>
      </c>
      <c r="F22" s="72">
        <f>INPUTS!$C$80</f>
        <v>69.7</v>
      </c>
      <c r="G22" s="72">
        <f>INPUTS!$C$81</f>
        <v>83.6</v>
      </c>
      <c r="H22" s="72">
        <f>INPUTS!$C$82</f>
        <v>114.5</v>
      </c>
      <c r="I22" s="72">
        <f>H22-G22</f>
        <v>30.900000000000006</v>
      </c>
      <c r="J22" s="73">
        <f>I22*INPUTS!$C$86</f>
        <v>426.62841338912142</v>
      </c>
      <c r="K22" s="74">
        <f>INPUTS!$C$76</f>
        <v>0.67600000000000005</v>
      </c>
      <c r="L22" s="73">
        <f>J22*K22</f>
        <v>288.40080745104609</v>
      </c>
      <c r="M22" s="73">
        <f>L22*INPUTS!$C$18</f>
        <v>13987.439161375736</v>
      </c>
      <c r="N22" s="75">
        <f>M22/INPUTS!$C$21</f>
        <v>9.8802980605752225E-2</v>
      </c>
    </row>
    <row r="23" spans="2:14" ht="13.95" customHeight="1" x14ac:dyDescent="0.3">
      <c r="B23" s="62" t="s">
        <v>417</v>
      </c>
      <c r="C23" s="64" t="s">
        <v>380</v>
      </c>
      <c r="D23" s="139" t="s">
        <v>418</v>
      </c>
      <c r="E23" s="64" t="s">
        <v>416</v>
      </c>
      <c r="F23" s="65">
        <f>INPUTS!$C$83</f>
        <v>135.30000000000001</v>
      </c>
      <c r="G23" s="65">
        <f>INPUTS!$C$84</f>
        <v>155.6</v>
      </c>
      <c r="H23" s="65">
        <f>INPUTS!$C$85</f>
        <v>176.4</v>
      </c>
      <c r="I23" s="65">
        <f>H23-G23</f>
        <v>20.800000000000011</v>
      </c>
      <c r="J23" s="66">
        <f>I23*INPUTS!$C$86</f>
        <v>287.1802912133893</v>
      </c>
      <c r="K23" s="67">
        <f>INPUTS!$C$76</f>
        <v>0.67600000000000005</v>
      </c>
      <c r="L23" s="66">
        <f>J23*K23</f>
        <v>194.13387686025118</v>
      </c>
      <c r="M23" s="66">
        <f>L23*INPUTS!$C$18</f>
        <v>9415.4930277221829</v>
      </c>
      <c r="N23" s="68">
        <f>M23/INPUTS!$C$21</f>
        <v>6.6508155229762042E-2</v>
      </c>
    </row>
    <row r="24" spans="2:14" ht="13.95" customHeight="1" x14ac:dyDescent="0.3">
      <c r="B24" s="201" t="s">
        <v>419</v>
      </c>
      <c r="C24" s="202" t="s">
        <v>380</v>
      </c>
      <c r="D24" s="201"/>
      <c r="E24" s="202" t="s">
        <v>382</v>
      </c>
      <c r="F24" s="194"/>
      <c r="G24" s="203">
        <f>INPUTS!$C$60</f>
        <v>3299.8119999999999</v>
      </c>
      <c r="H24" s="203">
        <f>INPUTS!$C$61</f>
        <v>4001.5703777279959</v>
      </c>
      <c r="I24" s="203">
        <f>H24-G24</f>
        <v>701.75837772799605</v>
      </c>
      <c r="J24" s="204">
        <f>SUM(J22:J23)</f>
        <v>713.80870460251072</v>
      </c>
      <c r="K24" s="204">
        <f>SUM(L22:L23)</f>
        <v>482.53468431129727</v>
      </c>
      <c r="L24" s="204">
        <f>SUM(L22:L23)</f>
        <v>482.53468431129727</v>
      </c>
      <c r="M24" s="204">
        <f>L24*INPUTS!$C$18</f>
        <v>23402.932189097919</v>
      </c>
      <c r="N24" s="205">
        <f>M24/INPUTS!$C$21</f>
        <v>0.16531113583551427</v>
      </c>
    </row>
    <row r="25" spans="2:14" ht="6" customHeight="1" x14ac:dyDescent="0.3"/>
    <row r="26" spans="2:14" ht="13.95" customHeight="1" x14ac:dyDescent="0.3">
      <c r="B26" s="201" t="s">
        <v>420</v>
      </c>
      <c r="C26" s="202" t="s">
        <v>380</v>
      </c>
      <c r="D26" s="201"/>
      <c r="E26" s="202" t="s">
        <v>382</v>
      </c>
      <c r="F26" s="206"/>
      <c r="G26" s="203">
        <f>INPUTS!$C$58</f>
        <v>14814.791999999999</v>
      </c>
      <c r="H26" s="203">
        <f>INPUTS!$C$59</f>
        <v>22121.210377727995</v>
      </c>
      <c r="I26" s="203">
        <f>H26-G26</f>
        <v>7306.4183777279959</v>
      </c>
      <c r="J26" s="204">
        <f>J18+J24</f>
        <v>7318.4687046025101</v>
      </c>
      <c r="K26" s="207">
        <f>(L18+L24)/J26</f>
        <v>0.25906128738638518</v>
      </c>
      <c r="L26" s="204">
        <f>L18+L24</f>
        <v>1895.9319243112971</v>
      </c>
      <c r="M26" s="204">
        <f>M18+M24</f>
        <v>91952.698329097911</v>
      </c>
      <c r="N26" s="205">
        <f>N18+N24</f>
        <v>0.64952566119064137</v>
      </c>
    </row>
    <row r="27" spans="2:14" ht="7.95" customHeight="1" x14ac:dyDescent="0.3"/>
    <row r="28" spans="2:14" ht="16.05" customHeight="1" x14ac:dyDescent="0.3">
      <c r="B28" s="84" t="s">
        <v>421</v>
      </c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</row>
    <row r="29" spans="2:14" ht="28.05" customHeight="1" x14ac:dyDescent="0.3">
      <c r="B29" s="90" t="s">
        <v>422</v>
      </c>
      <c r="C29" s="85"/>
      <c r="D29" s="85"/>
      <c r="E29" s="85"/>
      <c r="F29" s="85"/>
      <c r="G29" s="85"/>
      <c r="H29" s="85"/>
      <c r="I29" s="85"/>
      <c r="J29" s="91" t="s">
        <v>423</v>
      </c>
      <c r="K29" s="91" t="s">
        <v>424</v>
      </c>
      <c r="L29" s="91" t="s">
        <v>425</v>
      </c>
      <c r="M29" s="85"/>
      <c r="N29" s="91" t="s">
        <v>378</v>
      </c>
    </row>
    <row r="30" spans="2:14" ht="13.95" customHeight="1" x14ac:dyDescent="0.3">
      <c r="B30" s="208" t="s">
        <v>426</v>
      </c>
      <c r="C30" s="209"/>
      <c r="D30" s="209"/>
      <c r="E30" s="209"/>
      <c r="F30" s="209"/>
      <c r="G30" s="209"/>
      <c r="H30" s="209"/>
      <c r="I30" s="209"/>
      <c r="J30" s="210">
        <f>L26</f>
        <v>1895.9319243112971</v>
      </c>
      <c r="K30" s="211">
        <f>INPUTS!$C$18</f>
        <v>48.5</v>
      </c>
      <c r="L30" s="210">
        <f>J30*K30</f>
        <v>91952.698329097911</v>
      </c>
      <c r="M30" s="209"/>
      <c r="N30" s="212">
        <f>L30/INPUTS!$C$21</f>
        <v>0.64952566119064137</v>
      </c>
    </row>
    <row r="31" spans="2:14" ht="13.95" customHeight="1" x14ac:dyDescent="0.3">
      <c r="B31" s="213" t="s">
        <v>427</v>
      </c>
      <c r="C31" s="209"/>
      <c r="D31" s="209"/>
      <c r="E31" s="209"/>
      <c r="F31" s="209"/>
      <c r="G31" s="209"/>
      <c r="H31" s="209"/>
      <c r="I31" s="209"/>
      <c r="J31" s="214">
        <f>(INPUTS!$C$27-INPUTS!$C$18)*INPUTS!$C$26</f>
        <v>-16404.5</v>
      </c>
      <c r="K31" s="211">
        <v>1</v>
      </c>
      <c r="L31" s="214">
        <f>J31</f>
        <v>-16404.5</v>
      </c>
      <c r="M31" s="209"/>
      <c r="N31" s="215">
        <f>L31/INPUTS!$C$21</f>
        <v>-0.11587635711207962</v>
      </c>
    </row>
    <row r="32" spans="2:14" ht="13.95" customHeight="1" x14ac:dyDescent="0.3">
      <c r="B32" s="216" t="s">
        <v>428</v>
      </c>
      <c r="C32" s="209"/>
      <c r="D32" s="209"/>
      <c r="E32" s="209"/>
      <c r="F32" s="209"/>
      <c r="G32" s="209"/>
      <c r="H32" s="209"/>
      <c r="I32" s="209"/>
      <c r="J32" s="217">
        <f>-(INPUTS!$C$29-INPUTS!$C$20)</f>
        <v>6115</v>
      </c>
      <c r="K32" s="211">
        <v>1</v>
      </c>
      <c r="L32" s="217">
        <f>J32</f>
        <v>6115</v>
      </c>
      <c r="M32" s="209"/>
      <c r="N32" s="218">
        <f>L32/INPUTS!$C$21</f>
        <v>4.3194484668253645E-2</v>
      </c>
    </row>
    <row r="33" spans="2:14" ht="16.05" customHeight="1" x14ac:dyDescent="0.3">
      <c r="B33" s="84" t="s">
        <v>429</v>
      </c>
      <c r="C33" s="85"/>
      <c r="D33" s="85"/>
      <c r="E33" s="85"/>
      <c r="F33" s="85"/>
      <c r="G33" s="85"/>
      <c r="H33" s="85"/>
      <c r="I33" s="85"/>
      <c r="J33" s="85"/>
      <c r="K33" s="85"/>
      <c r="L33" s="86">
        <f>L30+L31+L32</f>
        <v>81663.198329097911</v>
      </c>
      <c r="M33" s="85"/>
      <c r="N33" s="87">
        <f>L33/INPUTS!$C$21</f>
        <v>0.57684378874681541</v>
      </c>
    </row>
    <row r="34" spans="2:14" ht="19.95" customHeight="1" x14ac:dyDescent="0.3">
      <c r="B34" s="201" t="s">
        <v>430</v>
      </c>
      <c r="C34" s="206"/>
      <c r="D34" s="206"/>
      <c r="E34" s="206"/>
      <c r="F34" s="206"/>
      <c r="G34" s="206"/>
      <c r="H34" s="206"/>
      <c r="I34" s="206"/>
      <c r="J34" s="206"/>
      <c r="K34" s="219" t="s">
        <v>431</v>
      </c>
      <c r="L34" s="220">
        <f>INPUTS!$C$34</f>
        <v>1.5772096998636707</v>
      </c>
      <c r="M34" s="206"/>
      <c r="N34" s="220">
        <f>1+N33</f>
        <v>1.5768437887468154</v>
      </c>
    </row>
    <row r="35" spans="2:14" ht="150" customHeight="1" x14ac:dyDescent="0.3">
      <c r="B35" s="221" t="s">
        <v>432</v>
      </c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16"/>
  <sheetViews>
    <sheetView showGridLines="0" workbookViewId="0"/>
  </sheetViews>
  <sheetFormatPr defaultRowHeight="14.4" x14ac:dyDescent="0.3"/>
  <cols>
    <col min="1" max="1" width="1.44140625" customWidth="1"/>
    <col min="2" max="2" width="50" customWidth="1"/>
    <col min="3" max="3" width="18" customWidth="1"/>
    <col min="4" max="5" width="16" customWidth="1"/>
    <col min="6" max="6" width="3" customWidth="1"/>
  </cols>
  <sheetData>
    <row r="2" spans="1:8" ht="22.05" customHeight="1" x14ac:dyDescent="0.3">
      <c r="B2" s="227" t="s">
        <v>433</v>
      </c>
      <c r="C2" s="224"/>
      <c r="D2" s="224"/>
      <c r="E2" s="5"/>
    </row>
    <row r="3" spans="1:8" ht="12" customHeight="1" x14ac:dyDescent="0.3">
      <c r="A3" s="6"/>
      <c r="B3" s="6"/>
      <c r="C3" s="6"/>
      <c r="D3" s="6"/>
      <c r="E3" s="6"/>
      <c r="F3" s="6"/>
    </row>
    <row r="4" spans="1:8" ht="79.05" customHeight="1" x14ac:dyDescent="0.3">
      <c r="B4" s="228" t="s">
        <v>434</v>
      </c>
      <c r="C4" s="226"/>
      <c r="D4" s="226"/>
    </row>
    <row r="5" spans="1:8" ht="12" customHeight="1" x14ac:dyDescent="0.3">
      <c r="A5" s="6"/>
      <c r="B5" s="6"/>
      <c r="C5" s="6"/>
      <c r="D5" s="6"/>
      <c r="E5" s="6"/>
      <c r="F5" s="6"/>
      <c r="G5" s="6"/>
    </row>
    <row r="6" spans="1:8" ht="18" customHeight="1" x14ac:dyDescent="0.3">
      <c r="B6" s="7" t="s">
        <v>422</v>
      </c>
      <c r="C6" s="31" t="s">
        <v>435</v>
      </c>
      <c r="D6" s="31" t="s">
        <v>436</v>
      </c>
      <c r="E6" s="31" t="s">
        <v>437</v>
      </c>
    </row>
    <row r="7" spans="1:8" ht="15" customHeight="1" x14ac:dyDescent="0.3">
      <c r="B7" s="7" t="s">
        <v>438</v>
      </c>
      <c r="C7" s="54">
        <f>INPUTS!C21</f>
        <v>141569</v>
      </c>
      <c r="D7" s="55">
        <v>1</v>
      </c>
      <c r="E7" s="55">
        <f>IFERROR(INPUTS!C21/INPUTS!C21,"-")</f>
        <v>1</v>
      </c>
    </row>
    <row r="8" spans="1:8" ht="15" customHeight="1" x14ac:dyDescent="0.3">
      <c r="B8" s="9" t="s">
        <v>439</v>
      </c>
      <c r="C8" s="144">
        <f>IFERROR('NTB REGISTRY'!E7,"-")</f>
        <v>67679.911539815192</v>
      </c>
      <c r="D8" s="145">
        <f>IFERROR('NTB REGISTRY'!F7,"-")</f>
        <v>0.47807013922408997</v>
      </c>
      <c r="E8" s="56">
        <f t="shared" ref="E8:E15" si="0">IFERROR(E7+D8,"-")</f>
        <v>1.47807013922409</v>
      </c>
    </row>
    <row r="9" spans="1:8" ht="15" customHeight="1" x14ac:dyDescent="0.3">
      <c r="B9" s="11" t="s">
        <v>440</v>
      </c>
      <c r="C9" s="146">
        <f>IFERROR('NTB REGISTRY'!E8,"-")</f>
        <v>10285.347627906987</v>
      </c>
      <c r="D9" s="147">
        <f>IFERROR('NTB REGISTRY'!F8,"-")</f>
        <v>7.2652541360799239E-2</v>
      </c>
      <c r="E9" s="57">
        <f t="shared" si="0"/>
        <v>1.5507226805848893</v>
      </c>
    </row>
    <row r="10" spans="1:8" ht="15" customHeight="1" x14ac:dyDescent="0.3">
      <c r="B10" s="9" t="s">
        <v>441</v>
      </c>
      <c r="C10" s="144">
        <f>IFERROR('NTB REGISTRY'!E9,"-")</f>
        <v>0</v>
      </c>
      <c r="D10" s="145">
        <f>IFERROR('NTB REGISTRY'!F9,"-")</f>
        <v>0</v>
      </c>
      <c r="E10" s="56">
        <f t="shared" si="0"/>
        <v>1.5507226805848893</v>
      </c>
    </row>
    <row r="11" spans="1:8" ht="15" customHeight="1" x14ac:dyDescent="0.3">
      <c r="B11" s="11" t="s">
        <v>442</v>
      </c>
      <c r="C11" s="146">
        <f>IFERROR('NTB REGISTRY'!E10,"-")</f>
        <v>13987.439161375736</v>
      </c>
      <c r="D11" s="147">
        <f>IFERROR('NTB REGISTRY'!F10,"-")</f>
        <v>9.8802980605752225E-2</v>
      </c>
      <c r="E11" s="57">
        <f t="shared" si="0"/>
        <v>1.6495256611906415</v>
      </c>
    </row>
    <row r="12" spans="1:8" ht="28.95" customHeight="1" x14ac:dyDescent="0.3">
      <c r="B12" s="9" t="s">
        <v>443</v>
      </c>
      <c r="C12" s="144">
        <v>0</v>
      </c>
      <c r="D12" s="145">
        <v>0</v>
      </c>
      <c r="E12" s="56">
        <f t="shared" si="0"/>
        <v>1.6495256611906415</v>
      </c>
    </row>
    <row r="13" spans="1:8" ht="28.95" customHeight="1" x14ac:dyDescent="0.3">
      <c r="B13" s="11" t="s">
        <v>444</v>
      </c>
      <c r="C13" s="146">
        <v>0</v>
      </c>
      <c r="D13" s="147">
        <v>0</v>
      </c>
      <c r="E13" s="57">
        <f t="shared" si="0"/>
        <v>1.6495256611906415</v>
      </c>
    </row>
    <row r="14" spans="1:8" ht="15" customHeight="1" x14ac:dyDescent="0.3">
      <c r="B14" s="142" t="s">
        <v>445</v>
      </c>
      <c r="C14" s="148">
        <f>'DRIVER TREE'!L31</f>
        <v>-16404.5</v>
      </c>
      <c r="D14" s="149">
        <f>'DRIVER TREE'!N31</f>
        <v>-0.11587635711207962</v>
      </c>
      <c r="E14" s="150">
        <f t="shared" si="0"/>
        <v>1.5336493040785619</v>
      </c>
    </row>
    <row r="15" spans="1:8" ht="13.95" customHeight="1" x14ac:dyDescent="0.3">
      <c r="A15" s="6"/>
      <c r="B15" s="143" t="s">
        <v>446</v>
      </c>
      <c r="C15" s="96">
        <f>'DRIVER TREE'!L32</f>
        <v>6115</v>
      </c>
      <c r="D15" s="95">
        <f>'DRIVER TREE'!N32</f>
        <v>4.3194484668253645E-2</v>
      </c>
      <c r="E15" s="151">
        <f t="shared" si="0"/>
        <v>1.5768437887468156</v>
      </c>
      <c r="F15" s="79"/>
      <c r="G15" s="79"/>
      <c r="H15" s="79"/>
    </row>
    <row r="16" spans="1:8" ht="15" customHeight="1" x14ac:dyDescent="0.3">
      <c r="B16" s="236" t="s">
        <v>447</v>
      </c>
      <c r="C16" s="54">
        <f>INPUTS!C30</f>
        <v>223284</v>
      </c>
      <c r="D16" s="55">
        <f>IFERROR(INPUTS!C30/INPUTS!C21,"-")</f>
        <v>1.5772096998636707</v>
      </c>
      <c r="E16" s="55">
        <f>IFERROR(INPUTS!C30/INPUTS!C21,"-")</f>
        <v>1.5772096998636707</v>
      </c>
    </row>
  </sheetData>
  <mergeCells count="3">
    <mergeCell ref="B16"/>
    <mergeCell ref="B2:D2"/>
    <mergeCell ref="B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K13"/>
  <sheetViews>
    <sheetView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.44140625" customWidth="1"/>
    <col min="2" max="2" width="8" customWidth="1"/>
    <col min="3" max="3" width="28" customWidth="1"/>
    <col min="4" max="4" width="50" customWidth="1"/>
    <col min="5" max="9" width="14" customWidth="1"/>
    <col min="10" max="10" width="20" customWidth="1"/>
  </cols>
  <sheetData>
    <row r="1" spans="2:11" ht="22.05" customHeight="1" x14ac:dyDescent="0.3">
      <c r="B1" s="89" t="s">
        <v>448</v>
      </c>
    </row>
    <row r="2" spans="2:11" ht="13.95" customHeight="1" x14ac:dyDescent="0.3">
      <c r="B2" s="58" t="s">
        <v>449</v>
      </c>
    </row>
    <row r="3" spans="2:11" ht="13.95" customHeight="1" x14ac:dyDescent="0.3">
      <c r="B3" s="58" t="s">
        <v>450</v>
      </c>
    </row>
    <row r="4" spans="2:11" ht="6" customHeight="1" x14ac:dyDescent="0.3"/>
    <row r="5" spans="2:11" ht="16.05" customHeight="1" x14ac:dyDescent="0.3">
      <c r="B5" s="60" t="s">
        <v>451</v>
      </c>
      <c r="C5" s="61"/>
      <c r="D5" s="61"/>
      <c r="E5" s="61"/>
      <c r="F5" s="61"/>
      <c r="G5" s="61"/>
      <c r="H5" s="61"/>
      <c r="I5" s="61"/>
      <c r="J5" s="61"/>
    </row>
    <row r="6" spans="2:11" ht="31.95" customHeight="1" x14ac:dyDescent="0.3">
      <c r="B6" s="90" t="s">
        <v>452</v>
      </c>
      <c r="C6" s="90" t="s">
        <v>453</v>
      </c>
      <c r="D6" s="91" t="s">
        <v>454</v>
      </c>
      <c r="E6" s="91" t="s">
        <v>455</v>
      </c>
      <c r="F6" s="91" t="s">
        <v>456</v>
      </c>
      <c r="G6" s="91" t="s">
        <v>457</v>
      </c>
      <c r="H6" s="91" t="s">
        <v>458</v>
      </c>
      <c r="I6" s="91" t="s">
        <v>459</v>
      </c>
      <c r="J6" s="91" t="s">
        <v>460</v>
      </c>
      <c r="K6" s="91" t="s">
        <v>461</v>
      </c>
    </row>
    <row r="7" spans="2:11" ht="117" customHeight="1" x14ac:dyDescent="0.3">
      <c r="B7" s="92" t="s">
        <v>114</v>
      </c>
      <c r="C7" s="93" t="s">
        <v>462</v>
      </c>
      <c r="D7" s="94" t="s">
        <v>463</v>
      </c>
      <c r="E7" s="152">
        <f>'DRIVER TREE'!M13+'DRIVER TREE'!M16+'DRIVER TREE'!M23</f>
        <v>67679.911539815192</v>
      </c>
      <c r="F7" s="95">
        <f>IFERROR(E7/INPUTS!$C$21,"-")</f>
        <v>0.47807013922408997</v>
      </c>
      <c r="G7" s="96">
        <v>72056.305999999997</v>
      </c>
      <c r="H7" s="95">
        <v>0.50900000000000001</v>
      </c>
      <c r="I7" s="97" t="s">
        <v>464</v>
      </c>
      <c r="J7" s="98" t="s">
        <v>465</v>
      </c>
      <c r="K7" s="99" t="s">
        <v>466</v>
      </c>
    </row>
    <row r="8" spans="2:11" ht="142.05000000000001" customHeight="1" x14ac:dyDescent="0.3">
      <c r="B8" s="92" t="s">
        <v>116</v>
      </c>
      <c r="C8" s="100" t="s">
        <v>467</v>
      </c>
      <c r="D8" s="101" t="s">
        <v>468</v>
      </c>
      <c r="E8" s="153">
        <f>'DRIVER TREE'!M15</f>
        <v>10285.347627906987</v>
      </c>
      <c r="F8" s="83">
        <f>IFERROR(E8/INPUTS!$C$21,"-")</f>
        <v>7.2652541360799239E-2</v>
      </c>
      <c r="G8" s="82">
        <v>18294.276999999998</v>
      </c>
      <c r="H8" s="83">
        <v>0.129</v>
      </c>
      <c r="I8" s="102" t="s">
        <v>469</v>
      </c>
      <c r="J8" s="103" t="s">
        <v>470</v>
      </c>
      <c r="K8" s="104" t="s">
        <v>471</v>
      </c>
    </row>
    <row r="9" spans="2:11" ht="142.05000000000001" customHeight="1" x14ac:dyDescent="0.3">
      <c r="B9" s="92" t="s">
        <v>118</v>
      </c>
      <c r="C9" s="93" t="s">
        <v>472</v>
      </c>
      <c r="D9" s="94" t="s">
        <v>473</v>
      </c>
      <c r="E9" s="152">
        <v>0</v>
      </c>
      <c r="F9" s="81">
        <v>0</v>
      </c>
      <c r="G9" s="96">
        <v>40000</v>
      </c>
      <c r="H9" s="95">
        <v>0.28299999999999997</v>
      </c>
      <c r="I9" s="97" t="s">
        <v>474</v>
      </c>
      <c r="J9" s="98" t="s">
        <v>475</v>
      </c>
      <c r="K9" s="99" t="s">
        <v>476</v>
      </c>
    </row>
    <row r="10" spans="2:11" ht="130.05000000000001" customHeight="1" x14ac:dyDescent="0.3">
      <c r="B10" s="92" t="s">
        <v>120</v>
      </c>
      <c r="C10" s="100" t="s">
        <v>477</v>
      </c>
      <c r="D10" s="101" t="s">
        <v>478</v>
      </c>
      <c r="E10" s="153">
        <f>'DRIVER TREE'!M22</f>
        <v>13987.439161375736</v>
      </c>
      <c r="F10" s="83">
        <f>IFERROR(E10/INPUTS!$C$21,"-")</f>
        <v>9.8802980605752225E-2</v>
      </c>
      <c r="G10" s="82">
        <v>31617.684000000001</v>
      </c>
      <c r="H10" s="83">
        <v>0.223</v>
      </c>
      <c r="I10" s="102" t="s">
        <v>479</v>
      </c>
      <c r="J10" s="103" t="s">
        <v>480</v>
      </c>
      <c r="K10" s="105" t="s">
        <v>481</v>
      </c>
    </row>
    <row r="11" spans="2:11" ht="130.05000000000001" customHeight="1" x14ac:dyDescent="0.3">
      <c r="B11" s="106" t="s">
        <v>122</v>
      </c>
      <c r="C11" s="107" t="s">
        <v>482</v>
      </c>
      <c r="D11" s="94" t="s">
        <v>483</v>
      </c>
      <c r="E11" s="154">
        <f>'DRIVER TREE'!L31</f>
        <v>-16404.5</v>
      </c>
      <c r="F11" s="81">
        <f>IFERROR(E11/INPUTS!$C$21,"-")</f>
        <v>-0.11587635711207962</v>
      </c>
      <c r="G11" s="80">
        <v>-8202.25</v>
      </c>
      <c r="H11" s="81">
        <v>-5.8000000000000003E-2</v>
      </c>
      <c r="I11" s="97" t="s">
        <v>484</v>
      </c>
      <c r="J11" s="98" t="s">
        <v>485</v>
      </c>
      <c r="K11" s="108" t="s">
        <v>486</v>
      </c>
    </row>
    <row r="12" spans="2:11" ht="16.05" customHeight="1" x14ac:dyDescent="0.3">
      <c r="B12" s="109" t="s">
        <v>487</v>
      </c>
      <c r="C12" s="78" t="s">
        <v>488</v>
      </c>
      <c r="D12" s="88"/>
      <c r="E12" s="155">
        <f>SUM(E7:E11)+'DRIVER TREE'!L32</f>
        <v>81663.198329097911</v>
      </c>
      <c r="F12" s="141">
        <f>IFERROR(E12/INPUTS!$C$21,"-")</f>
        <v>0.57684378874681541</v>
      </c>
      <c r="G12" s="88"/>
      <c r="H12" s="88"/>
      <c r="I12" s="88"/>
      <c r="J12" s="88"/>
    </row>
    <row r="13" spans="2:11" ht="18" customHeight="1" x14ac:dyDescent="0.3">
      <c r="B13" s="110" t="s">
        <v>489</v>
      </c>
      <c r="C13" s="111"/>
      <c r="D13" s="85"/>
      <c r="E13" s="85"/>
      <c r="F13" s="156">
        <f>IFERROR(1+F12,"-")</f>
        <v>1.5768437887468154</v>
      </c>
      <c r="G13" s="85"/>
      <c r="H13" s="85"/>
      <c r="I13" s="85"/>
      <c r="J13" s="8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INPUTS</vt:lpstr>
      <vt:lpstr>FINANCIALS</vt:lpstr>
      <vt:lpstr>FINANCIAL MODEL</vt:lpstr>
      <vt:lpstr>KPI TREE</vt:lpstr>
      <vt:lpstr>DRIVER TREE</vt:lpstr>
      <vt:lpstr>MOIC BRIDGE</vt:lpstr>
      <vt:lpstr>NTB REGISTRY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Ian Lawrence</cp:lastModifiedBy>
  <dcterms:created xsi:type="dcterms:W3CDTF">2026-05-06T22:42:56Z</dcterms:created>
  <dcterms:modified xsi:type="dcterms:W3CDTF">2026-05-07T19:36:36Z</dcterms:modified>
</cp:coreProperties>
</file>