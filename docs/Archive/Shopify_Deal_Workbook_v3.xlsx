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FINANCIAL MODEL" sheetId="4" state="visible" r:id="rId4"/>
    <sheet xmlns:r="http://schemas.openxmlformats.org/officeDocument/2006/relationships" name="KPI TREE" sheetId="5" state="visible" r:id="rId5"/>
    <sheet xmlns:r="http://schemas.openxmlformats.org/officeDocument/2006/relationships" name="MOIC BRIDGE" sheetId="6" state="visible" r:id="rId6"/>
    <sheet xmlns:r="http://schemas.openxmlformats.org/officeDocument/2006/relationships" name="DRIVER TREE" sheetId="7" state="visible" r:id="rId7"/>
    <sheet xmlns:r="http://schemas.openxmlformats.org/officeDocument/2006/relationships" name="NTB REGIST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6">
    <numFmt numFmtId="164" formatCode="#,##0;(#,##0);&quot;-&quot;"/>
    <numFmt numFmtId="165" formatCode="$#,##0;($#,##0);&quot;-&quot;"/>
    <numFmt numFmtId="166" formatCode="0.0%;(0.0%);&quot;-&quot;"/>
    <numFmt numFmtId="167" formatCode="0.0&quot;x&quot;;(0.0&quot;x&quot;);&quot;-&quot;"/>
    <numFmt numFmtId="168" formatCode="$#,##0.0;($#,##0.0);&quot;-&quot;"/>
    <numFmt numFmtId="169" formatCode="#,##0.0;(#,##0.0);&quot;-&quot;"/>
    <numFmt numFmtId="170" formatCode="0.00%;(0.00%);&quot;-&quot;"/>
    <numFmt numFmtId="171" formatCode="0.0%"/>
    <numFmt numFmtId="172" formatCode="0.00x"/>
    <numFmt numFmtId="173" formatCode="+#,##0;-#,##0;&quot;-&quot;"/>
    <numFmt numFmtId="174" formatCode="#,##0.0"/>
    <numFmt numFmtId="175" formatCode="+0.000x;-0.000x;&quot;-&quot;"/>
    <numFmt numFmtId="176" formatCode="0.0&quot;×&quot;"/>
    <numFmt numFmtId="177" formatCode="#,##0;(#,##0)"/>
    <numFmt numFmtId="178" formatCode="+0.000x;-0.000x"/>
    <numFmt numFmtId="179" formatCode="0.00&quot;×&quot;"/>
  </numFmts>
  <fonts count="3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2E75B6"/>
      <sz val="9"/>
    </font>
    <font>
      <name val="Arial"/>
      <color rgb="00595959"/>
      <sz val="9"/>
    </font>
    <font>
      <name val="Arial"/>
      <b val="1"/>
      <color rgb="00000000"/>
      <sz val="9"/>
    </font>
    <font>
      <name val="Arial"/>
      <b val="1"/>
      <color rgb="000F4761"/>
      <sz val="9"/>
    </font>
    <font>
      <name val="Arial"/>
      <color rgb="000000FF"/>
      <sz val="9"/>
    </font>
    <font>
      <name val="Arial"/>
      <color rgb="00000000"/>
      <sz val="9"/>
    </font>
    <font>
      <name val="Arial"/>
      <color rgb="00008000"/>
      <sz val="9"/>
    </font>
    <font>
      <name val="Arial"/>
      <color rgb="00FFFFFF"/>
      <sz val="9"/>
    </font>
    <font>
      <name val="Arial"/>
      <b val="1"/>
      <color rgb="00374151"/>
      <sz val="9"/>
    </font>
    <font>
      <name val="Arial"/>
      <color rgb="00374151"/>
      <sz val="9"/>
    </font>
    <font>
      <name val="Arial"/>
      <color rgb="001D4ED8"/>
      <sz val="9"/>
    </font>
    <font>
      <name val="Arial"/>
      <i val="1"/>
      <color rgb="009CA3AF"/>
      <sz val="9"/>
    </font>
    <font>
      <name val="Arial"/>
      <color rgb="001F2937"/>
      <sz val="9"/>
    </font>
    <font>
      <name val="Arial"/>
      <b val="1"/>
      <color rgb="00375623"/>
      <sz val="9"/>
    </font>
    <font>
      <name val="Arial"/>
      <color rgb="00047857"/>
      <sz val="9"/>
    </font>
    <font>
      <name val="Arial"/>
      <b val="1"/>
      <color rgb="00C00000"/>
      <sz val="9"/>
    </font>
    <font>
      <name val="Arial"/>
      <b val="1"/>
      <color rgb="00C55A11"/>
      <sz val="9"/>
    </font>
    <font>
      <name val="Arial"/>
      <color rgb="009CA3AF"/>
      <sz val="9"/>
    </font>
    <font>
      <name val="Arial"/>
      <b val="1"/>
      <color rgb="000F4761"/>
      <sz val="11"/>
    </font>
    <font>
      <name val="Arial"/>
      <i val="1"/>
      <color rgb="00444444"/>
      <sz val="7"/>
    </font>
    <font>
      <name val="Arial"/>
      <b val="1"/>
      <color rgb="00FFFFFF"/>
      <sz val="8"/>
    </font>
    <font>
      <name val="Arial"/>
      <b val="1"/>
      <color rgb="004280F4"/>
      <sz val="9"/>
    </font>
    <font>
      <name val="Arial"/>
      <b val="1"/>
      <color rgb="003A00FD"/>
      <sz val="9"/>
    </font>
    <font>
      <name val="Arial"/>
      <color rgb="00444444"/>
      <sz val="7"/>
    </font>
    <font>
      <name val="Arial"/>
      <b val="1"/>
      <color rgb="004280F4"/>
      <sz val="8"/>
    </font>
    <font>
      <name val="Arial"/>
      <color rgb="00C55A11"/>
      <sz val="7"/>
    </font>
    <font>
      <name val="Arial"/>
      <color rgb="003A00FD"/>
      <sz val="7"/>
    </font>
    <font>
      <name val="Arial"/>
      <b val="1"/>
      <color rgb="00FFFFFF"/>
      <sz val="7"/>
    </font>
    <font>
      <name val="Arial"/>
      <color rgb="00000000"/>
      <sz val="7"/>
    </font>
    <font>
      <name val="Arial"/>
      <b val="1"/>
      <color rgb="00C55A11"/>
      <sz val="7"/>
    </font>
    <font>
      <name val="Arial"/>
      <b val="1"/>
      <color rgb="00375623"/>
      <sz val="7"/>
    </font>
    <font>
      <name val="Arial"/>
      <b val="1"/>
      <color rgb="00C00000"/>
      <sz val="7"/>
    </font>
  </fonts>
  <fills count="19">
    <fill>
      <patternFill/>
    </fill>
    <fill>
      <patternFill patternType="gray125"/>
    </fill>
    <fill>
      <patternFill patternType="solid">
        <fgColor rgb="000F4761"/>
      </patternFill>
    </fill>
    <fill>
      <patternFill patternType="solid">
        <fgColor rgb="001F6391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FC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E0E0"/>
      </patternFill>
    </fill>
    <fill>
      <patternFill patternType="solid">
        <fgColor rgb="00D9E2F3"/>
      </patternFill>
    </fill>
    <fill>
      <patternFill patternType="solid">
        <fgColor rgb="00E8EDF2"/>
      </patternFill>
    </fill>
    <fill>
      <patternFill patternType="solid">
        <fgColor rgb="00F7F8FA"/>
      </patternFill>
    </fill>
    <fill>
      <patternFill patternType="solid">
        <fgColor rgb="00EEF2F7"/>
      </patternFill>
    </fill>
    <fill>
      <patternFill patternType="solid">
        <fgColor rgb="00EBF4EA"/>
      </patternFill>
    </fill>
    <fill>
      <patternFill patternType="solid">
        <fgColor rgb="00FDEBEB"/>
      </patternFill>
    </fill>
    <fill>
      <patternFill patternType="solid">
        <fgColor rgb="00FEF3E8"/>
      </patternFill>
    </fill>
    <fill>
      <patternFill patternType="solid">
        <fgColor rgb="00C00000"/>
      </patternFill>
    </fill>
  </fills>
  <borders count="24">
    <border>
      <left/>
      <right/>
      <top/>
      <bottom/>
      <diagonal/>
    </border>
    <border>
      <left style="medium">
        <color rgb="00AAAAAA"/>
      </left>
      <right style="medium">
        <color rgb="00AAAAAA"/>
      </right>
      <top style="medium">
        <color rgb="00AAAAAA"/>
      </top>
      <bottom style="medium">
        <color rgb="00AAAAAA"/>
      </bottom>
    </border>
    <border>
      <left/>
      <right/>
      <top style="medium">
        <color rgb="00AAAAAA"/>
      </top>
      <bottom/>
      <diagonal/>
    </border>
    <border>
      <left/>
      <right style="medium">
        <color rgb="00AAAAAA"/>
      </right>
      <top style="medium">
        <color rgb="00AAAAAA"/>
      </top>
      <bottom/>
      <diagonal/>
    </border>
    <border>
      <left/>
      <right/>
      <top style="medium">
        <color rgb="00AAAAAA"/>
      </top>
      <bottom style="medium">
        <color rgb="00AAAAAA"/>
      </bottom>
      <diagonal/>
    </border>
    <border>
      <left/>
      <right style="medium">
        <color rgb="00AAAAAA"/>
      </right>
      <top style="medium">
        <color rgb="00AAAAAA"/>
      </top>
      <bottom style="medium">
        <color rgb="00AAAAAA"/>
      </bottom>
      <diagonal/>
    </border>
    <border>
      <bottom style="thin">
        <color rgb="00CCCCCC"/>
      </bottom>
    </border>
    <border>
      <left/>
      <right/>
      <top/>
      <bottom style="thin">
        <color rgb="00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right/>
      <bottom style="thin">
        <color rgb="00CCCCCC"/>
      </bottom>
    </border>
    <border>
      <bottom style="medium">
        <color rgb="000F4761"/>
      </bottom>
    </border>
    <border/>
    <border>
      <bottom style="thin">
        <color rgb="009CA3AF"/>
      </bottom>
    </border>
    <border>
      <bottom style="thin">
        <color rgb="00E5E7EB"/>
      </bottom>
    </border>
    <border>
      <right/>
      <bottom style="medium">
        <color rgb="000F4761"/>
      </bottom>
    </border>
    <border>
      <left/>
      <right/>
      <top/>
      <bottom style="medium">
        <color rgb="000F4761"/>
      </bottom>
      <diagonal/>
    </border>
    <border>
      <left/>
      <right/>
      <top/>
      <bottom style="thin">
        <color rgb="009CA3AF"/>
      </bottom>
      <diagonal/>
    </border>
    <border>
      <left/>
      <right/>
      <top/>
      <bottom style="thin">
        <color rgb="00E5E7EB"/>
      </bottom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bottom style="thin">
        <color rgb="00DDDDDD"/>
      </bottom>
    </border>
  </borders>
  <cellStyleXfs count="1">
    <xf numFmtId="0" fontId="0" fillId="0" borderId="0"/>
  </cellStyleXfs>
  <cellXfs count="3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left" vertical="center" wrapText="1"/>
    </xf>
    <xf numFmtId="0" fontId="0" fillId="0" borderId="7" pivotButton="0" quotePrefix="0" xfId="0"/>
    <xf numFmtId="0" fontId="4" fillId="4" borderId="8" applyAlignment="1" pivotButton="0" quotePrefix="0" xfId="0">
      <alignment horizontal="center" vertical="center" wrapText="1"/>
    </xf>
    <xf numFmtId="0" fontId="5" fillId="5" borderId="8" applyAlignment="1" pivotButton="0" quotePrefix="0" xfId="0">
      <alignment horizontal="left" vertical="center" wrapText="1"/>
    </xf>
    <xf numFmtId="0" fontId="6" fillId="5" borderId="8" applyAlignment="1" pivotButton="0" quotePrefix="0" xfId="0">
      <alignment horizontal="left" vertical="center" wrapText="1"/>
    </xf>
    <xf numFmtId="0" fontId="5" fillId="6" borderId="8" applyAlignment="1" pivotButton="0" quotePrefix="0" xfId="0">
      <alignment horizontal="left" vertical="center" wrapText="1"/>
    </xf>
    <xf numFmtId="0" fontId="6" fillId="6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left" vertical="center" wrapText="1"/>
    </xf>
    <xf numFmtId="0" fontId="8" fillId="5" borderId="8" applyAlignment="1" pivotButton="0" quotePrefix="0" xfId="0">
      <alignment horizontal="left" vertical="center" wrapText="1"/>
    </xf>
    <xf numFmtId="0" fontId="7" fillId="6" borderId="8" applyAlignment="1" pivotButton="0" quotePrefix="0" xfId="0">
      <alignment horizontal="left" vertical="center" wrapText="1"/>
    </xf>
    <xf numFmtId="0" fontId="8" fillId="6" borderId="8" applyAlignment="1" pivotButton="0" quotePrefix="0" xfId="0">
      <alignment horizontal="left" vertical="center" wrapText="1"/>
    </xf>
    <xf numFmtId="0" fontId="9" fillId="7" borderId="8" applyAlignment="1" pivotButton="0" quotePrefix="0" xfId="0">
      <alignment horizontal="left" vertical="center" wrapText="1"/>
    </xf>
    <xf numFmtId="0" fontId="10" fillId="5" borderId="8" applyAlignment="1" pivotButton="0" quotePrefix="0" xfId="0">
      <alignment horizontal="left" vertical="center" wrapText="1"/>
    </xf>
    <xf numFmtId="0" fontId="11" fillId="5" borderId="8" applyAlignment="1" pivotButton="0" quotePrefix="0" xfId="0">
      <alignment horizontal="left" vertical="center" wrapText="1"/>
    </xf>
    <xf numFmtId="0" fontId="10" fillId="8" borderId="8" applyAlignment="1" pivotButton="0" quotePrefix="0" xfId="0">
      <alignment horizontal="left" vertical="center" wrapText="1"/>
    </xf>
    <xf numFmtId="0" fontId="10" fillId="9" borderId="8" applyAlignment="1" pivotButton="0" quotePrefix="0" xfId="0">
      <alignment horizontal="left" vertical="center" wrapText="1"/>
    </xf>
    <xf numFmtId="0" fontId="10" fillId="10" borderId="8" applyAlignment="1" pivotButton="0" quotePrefix="0" xfId="0">
      <alignment horizontal="left" vertical="center" wrapText="1"/>
    </xf>
    <xf numFmtId="0" fontId="10" fillId="0" borderId="8" applyAlignment="1" pivotButton="0" quotePrefix="0" xfId="0">
      <alignment horizontal="left" vertical="center" wrapText="1"/>
    </xf>
    <xf numFmtId="49" fontId="9" fillId="7" borderId="8" applyAlignment="1" pivotButton="0" quotePrefix="0" xfId="0">
      <alignment horizontal="right" vertical="center"/>
    </xf>
    <xf numFmtId="164" fontId="9" fillId="7" borderId="8" applyAlignment="1" pivotButton="0" quotePrefix="0" xfId="0">
      <alignment horizontal="right" vertical="center"/>
    </xf>
    <xf numFmtId="165" fontId="9" fillId="7" borderId="8" applyAlignment="1" pivotButton="0" quotePrefix="0" xfId="0">
      <alignment horizontal="right" vertical="center"/>
    </xf>
    <xf numFmtId="166" fontId="9" fillId="7" borderId="8" applyAlignment="1" pivotButton="0" quotePrefix="0" xfId="0">
      <alignment horizontal="right" vertical="center"/>
    </xf>
    <xf numFmtId="167" fontId="9" fillId="7" borderId="8" applyAlignment="1" pivotButton="0" quotePrefix="0" xfId="0">
      <alignment horizontal="right" vertical="center"/>
    </xf>
    <xf numFmtId="165" fontId="10" fillId="0" borderId="8" applyAlignment="1" pivotButton="0" quotePrefix="0" xfId="0">
      <alignment horizontal="right" vertical="center"/>
    </xf>
    <xf numFmtId="167" fontId="10" fillId="0" borderId="8" applyAlignment="1" pivotButton="0" quotePrefix="0" xfId="0">
      <alignment horizontal="right" vertical="center"/>
    </xf>
    <xf numFmtId="164" fontId="10" fillId="0" borderId="8" applyAlignment="1" pivotButton="0" quotePrefix="0" xfId="0">
      <alignment horizontal="right" vertical="center"/>
    </xf>
    <xf numFmtId="166" fontId="10" fillId="0" borderId="8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0" fontId="7" fillId="6" borderId="8" applyAlignment="1" pivotButton="0" quotePrefix="0" xfId="0">
      <alignment horizontal="center" vertical="center" wrapText="1"/>
    </xf>
    <xf numFmtId="0" fontId="7" fillId="5" borderId="8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left" vertical="center" wrapText="1"/>
    </xf>
    <xf numFmtId="0" fontId="7" fillId="11" borderId="8" applyAlignment="1" pivotButton="0" quotePrefix="0" xfId="0">
      <alignment horizontal="left" vertical="center" wrapText="1"/>
    </xf>
    <xf numFmtId="165" fontId="7" fillId="11" borderId="8" applyAlignment="1" pivotButton="0" quotePrefix="0" xfId="0">
      <alignment horizontal="right" vertical="center"/>
    </xf>
    <xf numFmtId="0" fontId="4" fillId="3" borderId="8" applyAlignment="1" pivotButton="0" quotePrefix="0" xfId="0">
      <alignment horizontal="center" vertical="center" wrapText="1"/>
    </xf>
    <xf numFmtId="0" fontId="0" fillId="6" borderId="8" pivotButton="0" quotePrefix="0" xfId="0"/>
    <xf numFmtId="165" fontId="11" fillId="5" borderId="8" pivotButton="0" quotePrefix="0" xfId="0"/>
    <xf numFmtId="165" fontId="10" fillId="5" borderId="8" pivotButton="0" quotePrefix="0" xfId="0"/>
    <xf numFmtId="166" fontId="11" fillId="5" borderId="8" pivotButton="0" quotePrefix="0" xfId="0"/>
    <xf numFmtId="166" fontId="10" fillId="5" borderId="8" pivotButton="0" quotePrefix="0" xfId="0"/>
    <xf numFmtId="165" fontId="11" fillId="11" borderId="8" pivotButton="0" quotePrefix="0" xfId="0"/>
    <xf numFmtId="165" fontId="7" fillId="11" borderId="8" pivotButton="0" quotePrefix="0" xfId="0"/>
    <xf numFmtId="165" fontId="0" fillId="6" borderId="8" pivotButton="0" quotePrefix="0" xfId="0"/>
    <xf numFmtId="168" fontId="9" fillId="7" borderId="8" applyAlignment="1" pivotButton="0" quotePrefix="0" xfId="0">
      <alignment horizontal="right" vertical="center"/>
    </xf>
    <xf numFmtId="0" fontId="7" fillId="11" borderId="8" applyAlignment="1" pivotButton="0" quotePrefix="0" xfId="0">
      <alignment horizontal="center" vertical="center" wrapText="1"/>
    </xf>
    <xf numFmtId="0" fontId="6" fillId="11" borderId="8" applyAlignment="1" pivotButton="0" quotePrefix="0" xfId="0">
      <alignment horizontal="center" vertical="center" wrapText="1"/>
    </xf>
    <xf numFmtId="0" fontId="0" fillId="11" borderId="8" pivotButton="0" quotePrefix="0" xfId="0"/>
    <xf numFmtId="0" fontId="6" fillId="11" borderId="8" applyAlignment="1" pivotButton="0" quotePrefix="0" xfId="0">
      <alignment horizontal="left" vertical="center" wrapText="1"/>
    </xf>
    <xf numFmtId="0" fontId="10" fillId="6" borderId="8" applyAlignment="1" pivotButton="0" quotePrefix="0" xfId="0">
      <alignment horizontal="center" vertical="center" wrapText="1"/>
    </xf>
    <xf numFmtId="0" fontId="10" fillId="6" borderId="8" applyAlignment="1" pivotButton="0" quotePrefix="0" xfId="0">
      <alignment horizontal="left" vertical="center" wrapText="1"/>
    </xf>
    <xf numFmtId="0" fontId="6" fillId="6" borderId="8" applyAlignment="1" pivotButton="0" quotePrefix="0" xfId="0">
      <alignment horizontal="center" vertical="center" wrapText="1"/>
    </xf>
    <xf numFmtId="0" fontId="7" fillId="8" borderId="8" applyAlignment="1" pivotButton="0" quotePrefix="0" xfId="0">
      <alignment horizontal="center" vertical="center" wrapText="1"/>
    </xf>
    <xf numFmtId="0" fontId="10" fillId="5" borderId="8" applyAlignment="1" pivotButton="0" quotePrefix="0" xfId="0">
      <alignment horizontal="center" vertical="center" wrapText="1"/>
    </xf>
    <xf numFmtId="0" fontId="6" fillId="5" borderId="8" applyAlignment="1" pivotButton="0" quotePrefix="0" xfId="0">
      <alignment horizontal="center" vertical="center" wrapText="1"/>
    </xf>
    <xf numFmtId="0" fontId="7" fillId="10" borderId="8" applyAlignment="1" pivotButton="0" quotePrefix="0" xfId="0">
      <alignment horizontal="center" vertical="center" wrapText="1"/>
    </xf>
    <xf numFmtId="0" fontId="7" fillId="9" borderId="8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167" fontId="7" fillId="11" borderId="8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wrapText="1"/>
    </xf>
    <xf numFmtId="167" fontId="7" fillId="0" borderId="8" applyAlignment="1" pivotButton="0" quotePrefix="0" xfId="0">
      <alignment horizontal="right" vertical="center"/>
    </xf>
    <xf numFmtId="49" fontId="10" fillId="0" borderId="8" applyAlignment="1" pivotButton="0" quotePrefix="0" xfId="0">
      <alignment horizontal="right" vertical="center"/>
    </xf>
    <xf numFmtId="49" fontId="11" fillId="6" borderId="8" applyAlignment="1" pivotButton="0" quotePrefix="0" xfId="0">
      <alignment horizontal="right" vertical="center"/>
    </xf>
    <xf numFmtId="49" fontId="11" fillId="5" borderId="8" applyAlignment="1" pivotButton="0" quotePrefix="0" xfId="0">
      <alignment horizontal="right" vertical="center"/>
    </xf>
    <xf numFmtId="0" fontId="4" fillId="3" borderId="8" applyAlignment="1" pivotButton="0" quotePrefix="0" xfId="0">
      <alignment horizontal="left" vertical="center" wrapText="1"/>
    </xf>
    <xf numFmtId="0" fontId="12" fillId="3" borderId="8" applyAlignment="1" pivotButton="0" quotePrefix="0" xfId="0">
      <alignment horizontal="center" vertical="center" wrapText="1"/>
    </xf>
    <xf numFmtId="0" fontId="6" fillId="3" borderId="8" applyAlignment="1" pivotButton="0" quotePrefix="0" xfId="0">
      <alignment horizontal="left" vertical="center" wrapText="1"/>
    </xf>
    <xf numFmtId="165" fontId="11" fillId="11" borderId="8" applyAlignment="1" pivotButton="0" quotePrefix="0" xfId="0">
      <alignment horizontal="right" vertical="center"/>
    </xf>
    <xf numFmtId="165" fontId="11" fillId="0" borderId="8" applyAlignment="1" pivotButton="0" quotePrefix="0" xfId="0">
      <alignment horizontal="right" vertical="center"/>
    </xf>
    <xf numFmtId="167" fontId="11" fillId="0" borderId="8" applyAlignment="1" pivotButton="0" quotePrefix="0" xfId="0">
      <alignment horizontal="right" vertical="center"/>
    </xf>
    <xf numFmtId="0" fontId="3" fillId="3" borderId="13" applyAlignment="1" pivotButton="0" quotePrefix="0" xfId="0">
      <alignment horizontal="left" vertical="center" wrapText="1"/>
    </xf>
    <xf numFmtId="165" fontId="10" fillId="7" borderId="8" applyAlignment="1" pivotButton="0" quotePrefix="0" xfId="0">
      <alignment horizontal="right" vertical="center"/>
    </xf>
    <xf numFmtId="165" fontId="10" fillId="11" borderId="8" applyAlignment="1" pivotButton="0" quotePrefix="0" xfId="0">
      <alignment horizontal="right" vertical="center"/>
    </xf>
    <xf numFmtId="166" fontId="10" fillId="7" borderId="8" applyAlignment="1" pivotButton="0" quotePrefix="0" xfId="0">
      <alignment horizontal="right" vertical="center"/>
    </xf>
    <xf numFmtId="166" fontId="10" fillId="5" borderId="8" applyAlignment="1" pivotButton="0" quotePrefix="0" xfId="0">
      <alignment horizontal="right" vertical="center"/>
    </xf>
    <xf numFmtId="165" fontId="10" fillId="5" borderId="8" applyAlignment="1" pivotButton="0" quotePrefix="0" xfId="0">
      <alignment horizontal="right" vertical="center"/>
    </xf>
    <xf numFmtId="169" fontId="10" fillId="7" borderId="8" applyAlignment="1" pivotButton="0" quotePrefix="0" xfId="0">
      <alignment horizontal="right" vertical="center"/>
    </xf>
    <xf numFmtId="170" fontId="10" fillId="7" borderId="8" applyAlignment="1" pivotButton="0" quotePrefix="0" xfId="0">
      <alignment horizontal="right" vertical="center"/>
    </xf>
    <xf numFmtId="169" fontId="9" fillId="7" borderId="8" applyAlignment="1" pivotButton="0" quotePrefix="0" xfId="0">
      <alignment horizontal="right" vertical="center"/>
    </xf>
    <xf numFmtId="170" fontId="9" fillId="7" borderId="8" applyAlignment="1" pivotButton="0" quotePrefix="0" xfId="0">
      <alignment horizontal="right" vertical="center"/>
    </xf>
    <xf numFmtId="0" fontId="1" fillId="2" borderId="14" applyAlignment="1" pivotButton="0" quotePrefix="0" xfId="0">
      <alignment horizontal="left" vertical="center"/>
    </xf>
    <xf numFmtId="0" fontId="0" fillId="2" borderId="14" pivotButton="0" quotePrefix="0" xfId="0"/>
    <xf numFmtId="0" fontId="16" fillId="0" borderId="0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2" borderId="14" applyAlignment="1" pivotButton="0" quotePrefix="0" xfId="0">
      <alignment horizontal="left" vertical="center"/>
    </xf>
    <xf numFmtId="0" fontId="0" fillId="2" borderId="7" pivotButton="0" quotePrefix="0" xfId="0"/>
    <xf numFmtId="0" fontId="4" fillId="2" borderId="14" applyAlignment="1" pivotButton="0" quotePrefix="0" xfId="0">
      <alignment horizontal="left" vertical="center"/>
    </xf>
    <xf numFmtId="0" fontId="13" fillId="5" borderId="17" applyAlignment="1" pivotButton="0" quotePrefix="0" xfId="0">
      <alignment horizontal="left" vertical="center" wrapText="1"/>
    </xf>
    <xf numFmtId="0" fontId="17" fillId="5" borderId="17" applyAlignment="1" pivotButton="0" quotePrefix="0" xfId="0">
      <alignment horizontal="left" vertical="center" wrapText="1"/>
    </xf>
    <xf numFmtId="0" fontId="13" fillId="13" borderId="17" applyAlignment="1" pivotButton="0" quotePrefix="0" xfId="0">
      <alignment horizontal="left" vertical="center" wrapText="1"/>
    </xf>
    <xf numFmtId="0" fontId="17" fillId="13" borderId="17" applyAlignment="1" pivotButton="0" quotePrefix="0" xfId="0">
      <alignment horizontal="left" vertical="center" wrapText="1"/>
    </xf>
    <xf numFmtId="0" fontId="14" fillId="5" borderId="17" applyAlignment="1" pivotButton="0" quotePrefix="0" xfId="0">
      <alignment horizontal="left" vertical="center" wrapText="1"/>
    </xf>
    <xf numFmtId="49" fontId="15" fillId="5" borderId="17" applyAlignment="1" pivotButton="0" quotePrefix="0" xfId="0">
      <alignment horizontal="right" vertical="center"/>
    </xf>
    <xf numFmtId="0" fontId="14" fillId="13" borderId="17" applyAlignment="1" pivotButton="0" quotePrefix="0" xfId="0">
      <alignment horizontal="left" vertical="center" wrapText="1"/>
    </xf>
    <xf numFmtId="49" fontId="15" fillId="13" borderId="17" applyAlignment="1" pivotButton="0" quotePrefix="0" xfId="0">
      <alignment horizontal="right" vertical="center"/>
    </xf>
    <xf numFmtId="164" fontId="15" fillId="5" borderId="17" applyAlignment="1" pivotButton="0" quotePrefix="0" xfId="0">
      <alignment horizontal="right" vertical="center"/>
    </xf>
    <xf numFmtId="164" fontId="15" fillId="13" borderId="17" applyAlignment="1" pivotButton="0" quotePrefix="0" xfId="0">
      <alignment horizontal="right" vertical="center"/>
    </xf>
    <xf numFmtId="165" fontId="15" fillId="5" borderId="17" applyAlignment="1" pivotButton="0" quotePrefix="0" xfId="0">
      <alignment horizontal="right" vertical="center"/>
    </xf>
    <xf numFmtId="165" fontId="15" fillId="13" borderId="17" applyAlignment="1" pivotButton="0" quotePrefix="0" xfId="0">
      <alignment horizontal="right" vertical="center"/>
    </xf>
    <xf numFmtId="166" fontId="15" fillId="5" borderId="17" applyAlignment="1" pivotButton="0" quotePrefix="0" xfId="0">
      <alignment horizontal="right" vertical="center"/>
    </xf>
    <xf numFmtId="167" fontId="15" fillId="13" borderId="17" applyAlignment="1" pivotButton="0" quotePrefix="0" xfId="0">
      <alignment horizontal="right" vertical="center"/>
    </xf>
    <xf numFmtId="165" fontId="10" fillId="5" borderId="17" applyAlignment="1" pivotButton="0" quotePrefix="0" xfId="0">
      <alignment horizontal="right" vertical="center"/>
    </xf>
    <xf numFmtId="167" fontId="15" fillId="5" borderId="17" applyAlignment="1" pivotButton="0" quotePrefix="0" xfId="0">
      <alignment horizontal="right" vertical="center"/>
    </xf>
    <xf numFmtId="165" fontId="10" fillId="13" borderId="17" applyAlignment="1" pivotButton="0" quotePrefix="0" xfId="0">
      <alignment horizontal="right" vertical="center"/>
    </xf>
    <xf numFmtId="167" fontId="10" fillId="5" borderId="17" applyAlignment="1" pivotButton="0" quotePrefix="0" xfId="0">
      <alignment horizontal="right" vertical="center"/>
    </xf>
    <xf numFmtId="164" fontId="10" fillId="13" borderId="17" applyAlignment="1" pivotButton="0" quotePrefix="0" xfId="0">
      <alignment horizontal="right" vertical="center"/>
    </xf>
    <xf numFmtId="166" fontId="10" fillId="5" borderId="17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 wrapText="1"/>
    </xf>
    <xf numFmtId="0" fontId="14" fillId="5" borderId="17" applyAlignment="1" pivotButton="0" quotePrefix="0" xfId="0">
      <alignment horizontal="center" vertical="center" wrapText="1"/>
    </xf>
    <xf numFmtId="0" fontId="14" fillId="13" borderId="17" applyAlignment="1" pivotButton="0" quotePrefix="0" xfId="0">
      <alignment horizontal="center" vertical="center" wrapText="1"/>
    </xf>
    <xf numFmtId="0" fontId="13" fillId="12" borderId="16" applyAlignment="1" pivotButton="0" quotePrefix="0" xfId="0">
      <alignment horizontal="left" vertical="center"/>
    </xf>
    <xf numFmtId="0" fontId="0" fillId="12" borderId="16" pivotButton="0" quotePrefix="0" xfId="0"/>
    <xf numFmtId="0" fontId="14" fillId="5" borderId="17" applyAlignment="1" pivotButton="0" quotePrefix="0" xfId="0">
      <alignment horizontal="left" vertical="center"/>
    </xf>
    <xf numFmtId="3" fontId="10" fillId="5" borderId="17" applyAlignment="1" pivotButton="0" quotePrefix="0" xfId="0">
      <alignment horizontal="right" vertical="center"/>
    </xf>
    <xf numFmtId="0" fontId="14" fillId="13" borderId="17" applyAlignment="1" pivotButton="0" quotePrefix="0" xfId="0">
      <alignment horizontal="left" vertical="center"/>
    </xf>
    <xf numFmtId="3" fontId="10" fillId="13" borderId="17" applyAlignment="1" pivotButton="0" quotePrefix="0" xfId="0">
      <alignment horizontal="right" vertical="center"/>
    </xf>
    <xf numFmtId="0" fontId="4" fillId="2" borderId="14" applyAlignment="1" pivotButton="0" quotePrefix="0" xfId="0">
      <alignment horizontal="right" vertical="center"/>
    </xf>
    <xf numFmtId="171" fontId="15" fillId="5" borderId="17" applyAlignment="1" pivotButton="0" quotePrefix="0" xfId="0">
      <alignment horizontal="right" vertical="center"/>
    </xf>
    <xf numFmtId="172" fontId="15" fillId="5" borderId="17" applyAlignment="1" pivotButton="0" quotePrefix="0" xfId="0">
      <alignment horizontal="right" vertical="center"/>
    </xf>
    <xf numFmtId="171" fontId="15" fillId="13" borderId="17" applyAlignment="1" pivotButton="0" quotePrefix="0" xfId="0">
      <alignment horizontal="right" vertical="center"/>
    </xf>
    <xf numFmtId="172" fontId="15" fillId="13" borderId="17" applyAlignment="1" pivotButton="0" quotePrefix="0" xfId="0">
      <alignment horizontal="right" vertical="center"/>
    </xf>
    <xf numFmtId="3" fontId="15" fillId="5" borderId="17" applyAlignment="1" pivotButton="0" quotePrefix="0" xfId="0">
      <alignment horizontal="right" vertical="center"/>
    </xf>
    <xf numFmtId="3" fontId="15" fillId="13" borderId="17" applyAlignment="1" pivotButton="0" quotePrefix="0" xfId="0">
      <alignment horizontal="right" vertical="center"/>
    </xf>
    <xf numFmtId="0" fontId="0" fillId="5" borderId="17" pivotButton="0" quotePrefix="0" xfId="0"/>
    <xf numFmtId="0" fontId="0" fillId="13" borderId="17" pivotButton="0" quotePrefix="0" xfId="0"/>
    <xf numFmtId="0" fontId="13" fillId="14" borderId="14" applyAlignment="1" pivotButton="0" quotePrefix="0" xfId="0">
      <alignment horizontal="left" vertical="center"/>
    </xf>
    <xf numFmtId="0" fontId="0" fillId="14" borderId="14" pivotButton="0" quotePrefix="0" xfId="0"/>
    <xf numFmtId="3" fontId="10" fillId="14" borderId="14" applyAlignment="1" pivotButton="0" quotePrefix="0" xfId="0">
      <alignment horizontal="right" vertical="center"/>
    </xf>
    <xf numFmtId="0" fontId="13" fillId="12" borderId="16" applyAlignment="1" pivotButton="0" quotePrefix="0" xfId="0">
      <alignment horizontal="left" vertical="center" wrapText="1"/>
    </xf>
    <xf numFmtId="0" fontId="13" fillId="12" borderId="16" pivotButton="0" quotePrefix="0" xfId="0"/>
    <xf numFmtId="165" fontId="17" fillId="13" borderId="17" applyAlignment="1" pivotButton="0" quotePrefix="0" xfId="0">
      <alignment horizontal="right" vertical="center"/>
    </xf>
    <xf numFmtId="0" fontId="16" fillId="13" borderId="17" applyAlignment="1" pivotButton="0" quotePrefix="0" xfId="0">
      <alignment horizontal="left" vertical="center" wrapText="1"/>
    </xf>
    <xf numFmtId="166" fontId="17" fillId="5" borderId="17" applyAlignment="1" pivotButton="0" quotePrefix="0" xfId="0">
      <alignment horizontal="right" vertical="center"/>
    </xf>
    <xf numFmtId="0" fontId="16" fillId="5" borderId="17" applyAlignment="1" pivotButton="0" quotePrefix="0" xfId="0">
      <alignment horizontal="left" vertical="center" wrapText="1"/>
    </xf>
    <xf numFmtId="165" fontId="17" fillId="5" borderId="17" applyAlignment="1" pivotButton="0" quotePrefix="0" xfId="0">
      <alignment horizontal="right" vertical="center"/>
    </xf>
    <xf numFmtId="166" fontId="17" fillId="13" borderId="17" applyAlignment="1" pivotButton="0" quotePrefix="0" xfId="0">
      <alignment horizontal="right" vertical="center"/>
    </xf>
    <xf numFmtId="0" fontId="14" fillId="5" borderId="17" pivotButton="0" quotePrefix="0" xfId="0"/>
    <xf numFmtId="0" fontId="17" fillId="5" borderId="17" applyAlignment="1" pivotButton="0" quotePrefix="0" xfId="0">
      <alignment horizontal="right" vertical="center"/>
    </xf>
    <xf numFmtId="0" fontId="16" fillId="5" borderId="17" pivotButton="0" quotePrefix="0" xfId="0"/>
    <xf numFmtId="0" fontId="16" fillId="5" borderId="13" applyAlignment="1" pivotButton="0" quotePrefix="0" xfId="0">
      <alignment horizontal="left" vertical="center" wrapText="1"/>
    </xf>
    <xf numFmtId="0" fontId="16" fillId="5" borderId="7" pivotButton="0" quotePrefix="0" xfId="0"/>
    <xf numFmtId="0" fontId="16" fillId="5" borderId="0" pivotButton="0" quotePrefix="0" xfId="0"/>
    <xf numFmtId="0" fontId="16" fillId="5" borderId="0" applyAlignment="1" pivotButton="0" quotePrefix="0" xfId="0">
      <alignment horizontal="left" vertical="center" wrapText="1"/>
    </xf>
    <xf numFmtId="0" fontId="17" fillId="13" borderId="17" applyAlignment="1" pivotButton="0" quotePrefix="0" xfId="0">
      <alignment horizontal="right" vertical="center"/>
    </xf>
    <xf numFmtId="166" fontId="15" fillId="13" borderId="17" applyAlignment="1" pivotButton="0" quotePrefix="0" xfId="0">
      <alignment horizontal="right" vertical="center"/>
    </xf>
    <xf numFmtId="0" fontId="22" fillId="13" borderId="17" applyAlignment="1" pivotButton="0" quotePrefix="0" xfId="0">
      <alignment horizontal="left" vertical="center" wrapText="1"/>
    </xf>
    <xf numFmtId="166" fontId="10" fillId="13" borderId="17" applyAlignment="1" pivotButton="0" quotePrefix="0" xfId="0">
      <alignment horizontal="right" vertical="center"/>
    </xf>
    <xf numFmtId="0" fontId="10" fillId="5" borderId="17" applyAlignment="1" pivotButton="0" quotePrefix="0" xfId="0">
      <alignment horizontal="right" vertical="center"/>
    </xf>
    <xf numFmtId="0" fontId="17" fillId="12" borderId="16" applyAlignment="1" pivotButton="0" quotePrefix="0" xfId="0">
      <alignment horizontal="right" vertical="center"/>
    </xf>
    <xf numFmtId="0" fontId="10" fillId="12" borderId="16" applyAlignment="1" pivotButton="0" quotePrefix="0" xfId="0">
      <alignment horizontal="right" vertical="center"/>
    </xf>
    <xf numFmtId="0" fontId="16" fillId="12" borderId="16" pivotButton="0" quotePrefix="0" xfId="0"/>
    <xf numFmtId="169" fontId="17" fillId="5" borderId="17" applyAlignment="1" pivotButton="0" quotePrefix="0" xfId="0">
      <alignment horizontal="right" vertical="center"/>
    </xf>
    <xf numFmtId="169" fontId="10" fillId="5" borderId="17" applyAlignment="1" pivotButton="0" quotePrefix="0" xfId="0">
      <alignment horizontal="right" vertical="center"/>
    </xf>
    <xf numFmtId="168" fontId="10" fillId="5" borderId="17" applyAlignment="1" pivotButton="0" quotePrefix="0" xfId="0">
      <alignment horizontal="right" vertical="center"/>
    </xf>
    <xf numFmtId="170" fontId="17" fillId="5" borderId="17" applyAlignment="1" pivotButton="0" quotePrefix="0" xfId="0">
      <alignment horizontal="right" vertical="center"/>
    </xf>
    <xf numFmtId="170" fontId="10" fillId="5" borderId="17" applyAlignment="1" pivotButton="0" quotePrefix="0" xfId="0">
      <alignment horizontal="right" vertical="center"/>
    </xf>
    <xf numFmtId="0" fontId="13" fillId="12" borderId="16" applyAlignment="1" pivotButton="0" quotePrefix="0" xfId="0">
      <alignment horizontal="center" vertical="center" wrapText="1"/>
    </xf>
    <xf numFmtId="0" fontId="17" fillId="12" borderId="16" pivotButton="0" quotePrefix="0" xfId="0"/>
    <xf numFmtId="3" fontId="10" fillId="12" borderId="16" applyAlignment="1" pivotButton="0" quotePrefix="0" xfId="0">
      <alignment horizontal="right" vertical="center"/>
    </xf>
    <xf numFmtId="167" fontId="10" fillId="12" borderId="16" applyAlignment="1" pivotButton="0" quotePrefix="0" xfId="0">
      <alignment horizontal="right" vertical="center"/>
    </xf>
    <xf numFmtId="0" fontId="17" fillId="5" borderId="17" applyAlignment="1" pivotButton="0" quotePrefix="0" xfId="0">
      <alignment horizontal="center" vertical="center" wrapText="1"/>
    </xf>
    <xf numFmtId="0" fontId="18" fillId="15" borderId="17" applyAlignment="1" pivotButton="0" quotePrefix="0" xfId="0">
      <alignment horizontal="center" vertical="center" wrapText="1"/>
    </xf>
    <xf numFmtId="3" fontId="19" fillId="5" borderId="17" applyAlignment="1" pivotButton="0" quotePrefix="0" xfId="0">
      <alignment horizontal="right" vertical="center"/>
    </xf>
    <xf numFmtId="0" fontId="17" fillId="13" borderId="17" applyAlignment="1" pivotButton="0" quotePrefix="0" xfId="0">
      <alignment horizontal="center" vertical="center" wrapText="1"/>
    </xf>
    <xf numFmtId="3" fontId="19" fillId="13" borderId="17" applyAlignment="1" pivotButton="0" quotePrefix="0" xfId="0">
      <alignment horizontal="right" vertical="center"/>
    </xf>
    <xf numFmtId="167" fontId="10" fillId="13" borderId="17" applyAlignment="1" pivotButton="0" quotePrefix="0" xfId="0">
      <alignment horizontal="right" vertical="center"/>
    </xf>
    <xf numFmtId="0" fontId="20" fillId="16" borderId="17" applyAlignment="1" pivotButton="0" quotePrefix="0" xfId="0">
      <alignment horizontal="center" vertical="center" wrapText="1"/>
    </xf>
    <xf numFmtId="0" fontId="21" fillId="17" borderId="17" applyAlignment="1" pivotButton="0" quotePrefix="0" xfId="0">
      <alignment horizontal="center" vertical="center" wrapText="1"/>
    </xf>
    <xf numFmtId="0" fontId="7" fillId="14" borderId="14" applyAlignment="1" pivotButton="0" quotePrefix="0" xfId="0">
      <alignment horizontal="left" vertical="center" wrapText="1"/>
    </xf>
    <xf numFmtId="0" fontId="0" fillId="14" borderId="14" applyAlignment="1" pivotButton="0" quotePrefix="0" xfId="0">
      <alignment horizontal="right" vertical="center"/>
    </xf>
    <xf numFmtId="167" fontId="7" fillId="14" borderId="14" applyAlignment="1" pivotButton="0" quotePrefix="0" xfId="0">
      <alignment horizontal="right" vertical="center"/>
    </xf>
    <xf numFmtId="0" fontId="6" fillId="14" borderId="14" applyAlignment="1" pivotButton="0" quotePrefix="0" xfId="0">
      <alignment horizontal="left" vertical="center" wrapText="1"/>
    </xf>
    <xf numFmtId="0" fontId="13" fillId="14" borderId="17" applyAlignment="1" pivotButton="0" quotePrefix="0" xfId="0">
      <alignment horizontal="left" vertical="center" wrapText="1"/>
    </xf>
    <xf numFmtId="0" fontId="0" fillId="14" borderId="17" pivotButton="0" quotePrefix="0" xfId="0"/>
    <xf numFmtId="167" fontId="7" fillId="14" borderId="17" applyAlignment="1" pivotButton="0" quotePrefix="0" xfId="0">
      <alignment horizontal="right" vertical="center"/>
    </xf>
    <xf numFmtId="49" fontId="10" fillId="14" borderId="17" applyAlignment="1" pivotButton="0" quotePrefix="0" xfId="0">
      <alignment horizontal="right" vertical="center"/>
    </xf>
    <xf numFmtId="49" fontId="10" fillId="5" borderId="17" applyAlignment="1" pivotButton="0" quotePrefix="0" xfId="0">
      <alignment horizontal="right" vertical="center"/>
    </xf>
    <xf numFmtId="172" fontId="10" fillId="5" borderId="17" applyAlignment="1" pivotButton="0" quotePrefix="0" xfId="0">
      <alignment horizontal="right" vertical="center"/>
    </xf>
    <xf numFmtId="49" fontId="17" fillId="5" borderId="17" applyAlignment="1" pivotButton="0" quotePrefix="0" xfId="0">
      <alignment horizontal="right" vertical="center"/>
    </xf>
    <xf numFmtId="49" fontId="10" fillId="13" borderId="17" applyAlignment="1" pivotButton="0" quotePrefix="0" xfId="0">
      <alignment horizontal="right" vertical="center"/>
    </xf>
    <xf numFmtId="172" fontId="10" fillId="13" borderId="17" applyAlignment="1" pivotButton="0" quotePrefix="0" xfId="0">
      <alignment horizontal="right" vertical="center"/>
    </xf>
    <xf numFmtId="49" fontId="17" fillId="13" borderId="17" applyAlignment="1" pivotButton="0" quotePrefix="0" xfId="0">
      <alignment horizontal="right" vertical="center"/>
    </xf>
    <xf numFmtId="3" fontId="7" fillId="14" borderId="14" applyAlignment="1" pivotButton="0" quotePrefix="0" xfId="0">
      <alignment horizontal="right" vertical="center"/>
    </xf>
    <xf numFmtId="172" fontId="7" fillId="14" borderId="14" applyAlignment="1" pivotButton="0" quotePrefix="0" xfId="0">
      <alignment horizontal="right" vertical="center"/>
    </xf>
    <xf numFmtId="169" fontId="19" fillId="12" borderId="16" applyAlignment="1" pivotButton="0" quotePrefix="0" xfId="0">
      <alignment horizontal="right" vertical="center"/>
    </xf>
    <xf numFmtId="165" fontId="10" fillId="12" borderId="16" applyAlignment="1" pivotButton="0" quotePrefix="0" xfId="0">
      <alignment horizontal="right" vertical="center"/>
    </xf>
    <xf numFmtId="166" fontId="10" fillId="12" borderId="16" applyAlignment="1" pivotButton="0" quotePrefix="0" xfId="0">
      <alignment horizontal="right" vertical="center"/>
    </xf>
    <xf numFmtId="0" fontId="18" fillId="15" borderId="16" applyAlignment="1" pivotButton="0" quotePrefix="0" xfId="0">
      <alignment horizontal="center" vertical="center" wrapText="1"/>
    </xf>
    <xf numFmtId="0" fontId="16" fillId="12" borderId="16" applyAlignment="1" pivotButton="0" quotePrefix="0" xfId="0">
      <alignment horizontal="left" vertical="center" wrapText="1"/>
    </xf>
    <xf numFmtId="165" fontId="19" fillId="12" borderId="16" applyAlignment="1" pivotButton="0" quotePrefix="0" xfId="0">
      <alignment horizontal="right" vertical="center"/>
    </xf>
    <xf numFmtId="165" fontId="9" fillId="5" borderId="17" applyAlignment="1" pivotButton="0" quotePrefix="0" xfId="0">
      <alignment horizontal="right" vertical="center"/>
    </xf>
    <xf numFmtId="165" fontId="9" fillId="13" borderId="17" applyAlignment="1" pivotButton="0" quotePrefix="0" xfId="0">
      <alignment horizontal="right" vertical="center"/>
    </xf>
    <xf numFmtId="165" fontId="19" fillId="5" borderId="17" applyAlignment="1" pivotButton="0" quotePrefix="0" xfId="0">
      <alignment horizontal="right" vertical="center"/>
    </xf>
    <xf numFmtId="166" fontId="19" fillId="12" borderId="16" applyAlignment="1" pivotButton="0" quotePrefix="0" xfId="0">
      <alignment horizontal="right" vertical="center"/>
    </xf>
    <xf numFmtId="166" fontId="9" fillId="5" borderId="17" applyAlignment="1" pivotButton="0" quotePrefix="0" xfId="0">
      <alignment horizontal="right" vertical="center"/>
    </xf>
    <xf numFmtId="166" fontId="9" fillId="13" borderId="17" applyAlignment="1" pivotButton="0" quotePrefix="0" xfId="0">
      <alignment horizontal="right" vertical="center"/>
    </xf>
    <xf numFmtId="166" fontId="19" fillId="13" borderId="17" applyAlignment="1" pivotButton="0" quotePrefix="0" xfId="0">
      <alignment horizontal="right" vertical="center"/>
    </xf>
    <xf numFmtId="166" fontId="19" fillId="5" borderId="17" applyAlignment="1" pivotButton="0" quotePrefix="0" xfId="0">
      <alignment horizontal="right" vertical="center"/>
    </xf>
    <xf numFmtId="168" fontId="9" fillId="12" borderId="16" applyAlignment="1" pivotButton="0" quotePrefix="0" xfId="0">
      <alignment horizontal="right" vertical="center"/>
    </xf>
    <xf numFmtId="0" fontId="17" fillId="12" borderId="16" applyAlignment="1" pivotButton="0" quotePrefix="0" xfId="0">
      <alignment horizontal="center" vertical="center" wrapText="1"/>
    </xf>
    <xf numFmtId="170" fontId="19" fillId="5" borderId="17" applyAlignment="1" pivotButton="0" quotePrefix="0" xfId="0">
      <alignment horizontal="right" vertical="center"/>
    </xf>
    <xf numFmtId="165" fontId="4" fillId="2" borderId="14" applyAlignment="1" pivotButton="0" quotePrefix="0" xfId="0">
      <alignment horizontal="right" vertical="center"/>
    </xf>
    <xf numFmtId="167" fontId="4" fillId="2" borderId="14" applyAlignment="1" pivotButton="0" quotePrefix="0" xfId="0">
      <alignment horizontal="right" vertical="center"/>
    </xf>
    <xf numFmtId="167" fontId="19" fillId="5" borderId="17" applyAlignment="1" pivotButton="0" quotePrefix="0" xfId="0">
      <alignment horizontal="right" vertical="center"/>
    </xf>
    <xf numFmtId="167" fontId="17" fillId="5" borderId="17" applyAlignment="1" pivotButton="0" quotePrefix="0" xfId="0">
      <alignment horizontal="right" vertical="center"/>
    </xf>
    <xf numFmtId="165" fontId="19" fillId="13" borderId="17" applyAlignment="1" pivotButton="0" quotePrefix="0" xfId="0">
      <alignment horizontal="right" vertical="center"/>
    </xf>
    <xf numFmtId="167" fontId="19" fillId="13" borderId="17" applyAlignment="1" pivotButton="0" quotePrefix="0" xfId="0">
      <alignment horizontal="right" vertical="center"/>
    </xf>
    <xf numFmtId="167" fontId="17" fillId="13" borderId="17" applyAlignment="1" pivotButton="0" quotePrefix="0" xfId="0">
      <alignment horizontal="right" vertical="center"/>
    </xf>
    <xf numFmtId="0" fontId="10" fillId="14" borderId="17" applyAlignment="1" pivotButton="0" quotePrefix="0" xfId="0">
      <alignment horizontal="left" vertical="center" wrapText="1"/>
    </xf>
    <xf numFmtId="165" fontId="9" fillId="14" borderId="17" applyAlignment="1" pivotButton="0" quotePrefix="0" xfId="0">
      <alignment horizontal="right" vertical="center"/>
    </xf>
    <xf numFmtId="167" fontId="9" fillId="14" borderId="17" applyAlignment="1" pivotButton="0" quotePrefix="0" xfId="0">
      <alignment horizontal="right" vertical="center"/>
    </xf>
    <xf numFmtId="167" fontId="10" fillId="14" borderId="17" applyAlignment="1" pivotButton="0" quotePrefix="0" xfId="0">
      <alignment horizontal="right" vertical="center"/>
    </xf>
    <xf numFmtId="0" fontId="0" fillId="0" borderId="19" pivotButton="0" quotePrefix="0" xfId="0"/>
    <xf numFmtId="0" fontId="3" fillId="2" borderId="18" applyAlignment="1" pivotButton="0" quotePrefix="0" xfId="0">
      <alignment horizontal="left" vertical="center"/>
    </xf>
    <xf numFmtId="0" fontId="0" fillId="0" borderId="20" pivotButton="0" quotePrefix="0" xfId="0"/>
    <xf numFmtId="0" fontId="23" fillId="0" borderId="0" applyAlignment="1" pivotButton="0" quotePrefix="0" xfId="0">
      <alignment horizontal="left" vertical="center"/>
    </xf>
    <xf numFmtId="0" fontId="24" fillId="0" borderId="0" pivotButton="0" quotePrefix="0" xfId="0"/>
    <xf numFmtId="0" fontId="24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5" fillId="2" borderId="22" applyAlignment="1" pivotButton="0" quotePrefix="0" xfId="0">
      <alignment horizontal="left" vertical="center" wrapText="1"/>
    </xf>
    <xf numFmtId="0" fontId="25" fillId="2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left" vertical="center"/>
    </xf>
    <xf numFmtId="0" fontId="0" fillId="0" borderId="23" pivotButton="0" quotePrefix="0" xfId="0"/>
    <xf numFmtId="0" fontId="28" fillId="0" borderId="23" pivotButton="0" quotePrefix="0" xfId="0"/>
    <xf numFmtId="3" fontId="27" fillId="0" borderId="23" applyAlignment="1" pivotButton="0" quotePrefix="0" xfId="0">
      <alignment horizontal="right" vertical="center"/>
    </xf>
    <xf numFmtId="173" fontId="27" fillId="0" borderId="23" applyAlignment="1" pivotButton="0" quotePrefix="0" xfId="0">
      <alignment horizontal="right" vertical="center"/>
    </xf>
    <xf numFmtId="0" fontId="29" fillId="0" borderId="23" applyAlignment="1" pivotButton="0" quotePrefix="0" xfId="0">
      <alignment horizontal="left" vertical="center"/>
    </xf>
    <xf numFmtId="0" fontId="24" fillId="0" borderId="23" pivotButton="0" quotePrefix="0" xfId="0"/>
    <xf numFmtId="0" fontId="10" fillId="5" borderId="22" applyAlignment="1" pivotButton="0" quotePrefix="0" xfId="0">
      <alignment horizontal="left" vertical="center"/>
    </xf>
    <xf numFmtId="0" fontId="30" fillId="5" borderId="22" applyAlignment="1" pivotButton="0" quotePrefix="0" xfId="0">
      <alignment horizontal="center" vertical="center"/>
    </xf>
    <xf numFmtId="0" fontId="24" fillId="5" borderId="22" applyAlignment="1" pivotButton="0" quotePrefix="0" xfId="0">
      <alignment horizontal="left" vertical="center"/>
    </xf>
    <xf numFmtId="0" fontId="28" fillId="5" borderId="22" applyAlignment="1" pivotButton="0" quotePrefix="0" xfId="0">
      <alignment horizontal="center" vertical="center"/>
    </xf>
    <xf numFmtId="174" fontId="10" fillId="5" borderId="22" applyAlignment="1" pivotButton="0" quotePrefix="0" xfId="0">
      <alignment horizontal="right" vertical="center"/>
    </xf>
    <xf numFmtId="164" fontId="10" fillId="5" borderId="22" applyAlignment="1" pivotButton="0" quotePrefix="0" xfId="0">
      <alignment horizontal="right" vertical="center"/>
    </xf>
    <xf numFmtId="171" fontId="10" fillId="5" borderId="22" applyAlignment="1" pivotButton="0" quotePrefix="0" xfId="0">
      <alignment horizontal="right" vertical="center"/>
    </xf>
    <xf numFmtId="175" fontId="10" fillId="5" borderId="22" applyAlignment="1" pivotButton="0" quotePrefix="0" xfId="0">
      <alignment horizontal="right" vertical="center"/>
    </xf>
    <xf numFmtId="0" fontId="10" fillId="6" borderId="22" applyAlignment="1" pivotButton="0" quotePrefix="0" xfId="0">
      <alignment horizontal="left" vertical="center"/>
    </xf>
    <xf numFmtId="0" fontId="30" fillId="6" borderId="22" applyAlignment="1" pivotButton="0" quotePrefix="0" xfId="0">
      <alignment horizontal="center" vertical="center"/>
    </xf>
    <xf numFmtId="0" fontId="24" fillId="6" borderId="22" applyAlignment="1" pivotButton="0" quotePrefix="0" xfId="0">
      <alignment horizontal="left" vertical="center"/>
    </xf>
    <xf numFmtId="0" fontId="28" fillId="6" borderId="22" applyAlignment="1" pivotButton="0" quotePrefix="0" xfId="0">
      <alignment horizontal="center" vertical="center"/>
    </xf>
    <xf numFmtId="174" fontId="10" fillId="6" borderId="22" applyAlignment="1" pivotButton="0" quotePrefix="0" xfId="0">
      <alignment horizontal="right" vertical="center"/>
    </xf>
    <xf numFmtId="164" fontId="10" fillId="6" borderId="22" applyAlignment="1" pivotButton="0" quotePrefix="0" xfId="0">
      <alignment horizontal="right" vertical="center"/>
    </xf>
    <xf numFmtId="171" fontId="10" fillId="6" borderId="22" applyAlignment="1" pivotButton="0" quotePrefix="0" xfId="0">
      <alignment horizontal="right" vertical="center"/>
    </xf>
    <xf numFmtId="175" fontId="10" fillId="6" borderId="22" applyAlignment="1" pivotButton="0" quotePrefix="0" xfId="0">
      <alignment horizontal="right" vertical="center"/>
    </xf>
    <xf numFmtId="0" fontId="31" fillId="5" borderId="22" applyAlignment="1" pivotButton="0" quotePrefix="0" xfId="0">
      <alignment horizontal="center" vertical="center"/>
    </xf>
    <xf numFmtId="0" fontId="31" fillId="6" borderId="22" applyAlignment="1" pivotButton="0" quotePrefix="0" xfId="0">
      <alignment horizontal="center" vertical="center"/>
    </xf>
    <xf numFmtId="0" fontId="7" fillId="11" borderId="22" applyAlignment="1" pivotButton="0" quotePrefix="0" xfId="0">
      <alignment horizontal="left" vertical="center"/>
    </xf>
    <xf numFmtId="0" fontId="31" fillId="11" borderId="22" applyAlignment="1" pivotButton="0" quotePrefix="0" xfId="0">
      <alignment horizontal="center" vertical="center"/>
    </xf>
    <xf numFmtId="0" fontId="24" fillId="11" borderId="22" applyAlignment="1" pivotButton="0" quotePrefix="0" xfId="0">
      <alignment horizontal="left" vertical="center"/>
    </xf>
    <xf numFmtId="0" fontId="28" fillId="11" borderId="22" applyAlignment="1" pivotButton="0" quotePrefix="0" xfId="0">
      <alignment horizontal="center" vertical="center"/>
    </xf>
    <xf numFmtId="171" fontId="7" fillId="11" borderId="22" applyAlignment="1" pivotButton="0" quotePrefix="0" xfId="0">
      <alignment horizontal="right" vertical="center"/>
    </xf>
    <xf numFmtId="174" fontId="7" fillId="11" borderId="22" applyAlignment="1" pivotButton="0" quotePrefix="0" xfId="0">
      <alignment horizontal="right" vertical="center"/>
    </xf>
    <xf numFmtId="164" fontId="7" fillId="11" borderId="22" applyAlignment="1" pivotButton="0" quotePrefix="0" xfId="0">
      <alignment horizontal="right" vertical="center"/>
    </xf>
    <xf numFmtId="175" fontId="7" fillId="11" borderId="22" applyAlignment="1" pivotButton="0" quotePrefix="0" xfId="0">
      <alignment horizontal="right" vertical="center"/>
    </xf>
    <xf numFmtId="3" fontId="7" fillId="11" borderId="22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/>
    </xf>
    <xf numFmtId="3" fontId="10" fillId="6" borderId="22" applyAlignment="1" pivotButton="0" quotePrefix="0" xfId="0">
      <alignment horizontal="right" vertical="center"/>
    </xf>
    <xf numFmtId="3" fontId="10" fillId="5" borderId="22" applyAlignment="1" pivotButton="0" quotePrefix="0" xfId="0">
      <alignment horizontal="right" vertical="center"/>
    </xf>
    <xf numFmtId="0" fontId="8" fillId="11" borderId="22" applyAlignment="1" pivotButton="0" quotePrefix="0" xfId="0">
      <alignment horizontal="left" vertical="center"/>
    </xf>
    <xf numFmtId="0" fontId="7" fillId="6" borderId="22" applyAlignment="1" pivotButton="0" quotePrefix="0" xfId="0">
      <alignment horizontal="left" vertical="center"/>
    </xf>
    <xf numFmtId="0" fontId="0" fillId="6" borderId="22" pivotButton="0" quotePrefix="0" xfId="0"/>
    <xf numFmtId="164" fontId="7" fillId="6" borderId="22" applyAlignment="1" pivotButton="0" quotePrefix="0" xfId="0">
      <alignment horizontal="right" vertical="center"/>
    </xf>
    <xf numFmtId="176" fontId="7" fillId="6" borderId="22" applyAlignment="1" pivotButton="0" quotePrefix="0" xfId="0">
      <alignment horizontal="right" vertical="center"/>
    </xf>
    <xf numFmtId="175" fontId="7" fillId="6" borderId="22" applyAlignment="1" pivotButton="0" quotePrefix="0" xfId="0">
      <alignment horizontal="right" vertical="center"/>
    </xf>
    <xf numFmtId="0" fontId="20" fillId="5" borderId="22" applyAlignment="1" pivotButton="0" quotePrefix="0" xfId="0">
      <alignment horizontal="left" vertical="center"/>
    </xf>
    <xf numFmtId="0" fontId="0" fillId="5" borderId="22" pivotButton="0" quotePrefix="0" xfId="0"/>
    <xf numFmtId="164" fontId="20" fillId="5" borderId="22" applyAlignment="1" pivotButton="0" quotePrefix="0" xfId="0">
      <alignment horizontal="right" vertical="center"/>
    </xf>
    <xf numFmtId="176" fontId="20" fillId="5" borderId="22" applyAlignment="1" pivotButton="0" quotePrefix="0" xfId="0">
      <alignment horizontal="right" vertical="center"/>
    </xf>
    <xf numFmtId="175" fontId="20" fillId="5" borderId="22" applyAlignment="1" pivotButton="0" quotePrefix="0" xfId="0">
      <alignment horizontal="right" vertical="center"/>
    </xf>
    <xf numFmtId="0" fontId="18" fillId="6" borderId="22" applyAlignment="1" pivotButton="0" quotePrefix="0" xfId="0">
      <alignment horizontal="left" vertical="center"/>
    </xf>
    <xf numFmtId="164" fontId="18" fillId="6" borderId="22" applyAlignment="1" pivotButton="0" quotePrefix="0" xfId="0">
      <alignment horizontal="right" vertical="center"/>
    </xf>
    <xf numFmtId="176" fontId="18" fillId="6" borderId="22" applyAlignment="1" pivotButton="0" quotePrefix="0" xfId="0">
      <alignment horizontal="right" vertical="center"/>
    </xf>
    <xf numFmtId="175" fontId="18" fillId="6" borderId="22" applyAlignment="1" pivotButton="0" quotePrefix="0" xfId="0">
      <alignment horizontal="right" vertical="center"/>
    </xf>
    <xf numFmtId="0" fontId="4" fillId="2" borderId="22" applyAlignment="1" pivotButton="0" quotePrefix="0" xfId="0">
      <alignment horizontal="left" vertical="center"/>
    </xf>
    <xf numFmtId="0" fontId="0" fillId="2" borderId="22" pivotButton="0" quotePrefix="0" xfId="0"/>
    <xf numFmtId="177" fontId="4" fillId="2" borderId="22" applyAlignment="1" pivotButton="0" quotePrefix="0" xfId="0">
      <alignment horizontal="right" vertical="center"/>
    </xf>
    <xf numFmtId="178" fontId="4" fillId="2" borderId="22" applyAlignment="1" pivotButton="0" quotePrefix="0" xfId="0">
      <alignment horizontal="right" vertical="center"/>
    </xf>
    <xf numFmtId="0" fontId="0" fillId="11" borderId="22" pivotButton="0" quotePrefix="0" xfId="0"/>
    <xf numFmtId="179" fontId="23" fillId="11" borderId="22" applyAlignment="1" pivotButton="0" quotePrefix="0" xfId="0">
      <alignment horizontal="right" vertical="center"/>
    </xf>
    <xf numFmtId="0" fontId="23" fillId="0" borderId="0" pivotButton="0" quotePrefix="0" xfId="0"/>
    <xf numFmtId="0" fontId="32" fillId="2" borderId="22" applyAlignment="1" pivotButton="0" quotePrefix="0" xfId="0">
      <alignment horizontal="left" vertical="center" wrapText="1"/>
    </xf>
    <xf numFmtId="0" fontId="32" fillId="2" borderId="22" applyAlignment="1" pivotButton="0" quotePrefix="0" xfId="0">
      <alignment horizontal="center" vertical="center" wrapText="1"/>
    </xf>
    <xf numFmtId="0" fontId="4" fillId="2" borderId="22" applyAlignment="1" pivotButton="0" quotePrefix="0" xfId="0">
      <alignment horizontal="center" vertical="center"/>
    </xf>
    <xf numFmtId="0" fontId="26" fillId="5" borderId="22" applyAlignment="1" pivotButton="0" quotePrefix="0" xfId="0">
      <alignment horizontal="left" vertical="top" wrapText="1"/>
    </xf>
    <xf numFmtId="0" fontId="33" fillId="5" borderId="22" applyAlignment="1" pivotButton="0" quotePrefix="0" xfId="0">
      <alignment horizontal="left" vertical="top" wrapText="1"/>
    </xf>
    <xf numFmtId="164" fontId="7" fillId="5" borderId="22" applyAlignment="1" pivotButton="0" quotePrefix="0" xfId="0">
      <alignment horizontal="right" vertical="center"/>
    </xf>
    <xf numFmtId="175" fontId="18" fillId="5" borderId="22" applyAlignment="1" pivotButton="0" quotePrefix="0" xfId="0">
      <alignment horizontal="right" vertical="center"/>
    </xf>
    <xf numFmtId="164" fontId="18" fillId="5" borderId="22" applyAlignment="1" pivotButton="0" quotePrefix="0" xfId="0">
      <alignment horizontal="right" vertical="center"/>
    </xf>
    <xf numFmtId="0" fontId="28" fillId="5" borderId="22" applyAlignment="1" pivotButton="0" quotePrefix="0" xfId="0">
      <alignment horizontal="center" vertical="top" wrapText="1"/>
    </xf>
    <xf numFmtId="0" fontId="28" fillId="5" borderId="22" applyAlignment="1" pivotButton="0" quotePrefix="0" xfId="0">
      <alignment horizontal="left" vertical="top" wrapText="1"/>
    </xf>
    <xf numFmtId="0" fontId="34" fillId="5" borderId="22" applyAlignment="1" pivotButton="0" quotePrefix="0" xfId="0">
      <alignment horizontal="left" vertical="top" wrapText="1"/>
    </xf>
    <xf numFmtId="0" fontId="26" fillId="6" borderId="22" applyAlignment="1" pivotButton="0" quotePrefix="0" xfId="0">
      <alignment horizontal="left" vertical="top" wrapText="1"/>
    </xf>
    <xf numFmtId="0" fontId="33" fillId="6" borderId="22" applyAlignment="1" pivotButton="0" quotePrefix="0" xfId="0">
      <alignment horizontal="left" vertical="top" wrapText="1"/>
    </xf>
    <xf numFmtId="164" fontId="7" fillId="6" borderId="22" applyAlignment="1" pivotButton="0" quotePrefix="0" xfId="0">
      <alignment horizontal="right" vertical="center"/>
    </xf>
    <xf numFmtId="175" fontId="18" fillId="6" borderId="22" applyAlignment="1" pivotButton="0" quotePrefix="0" xfId="0">
      <alignment horizontal="right" vertical="center"/>
    </xf>
    <xf numFmtId="164" fontId="18" fillId="6" borderId="22" applyAlignment="1" pivotButton="0" quotePrefix="0" xfId="0">
      <alignment horizontal="right" vertical="center"/>
    </xf>
    <xf numFmtId="0" fontId="28" fillId="6" borderId="22" applyAlignment="1" pivotButton="0" quotePrefix="0" xfId="0">
      <alignment horizontal="center" vertical="top" wrapText="1"/>
    </xf>
    <xf numFmtId="0" fontId="28" fillId="6" borderId="22" applyAlignment="1" pivotButton="0" quotePrefix="0" xfId="0">
      <alignment horizontal="left" vertical="top" wrapText="1"/>
    </xf>
    <xf numFmtId="0" fontId="35" fillId="6" borderId="22" applyAlignment="1" pivotButton="0" quotePrefix="0" xfId="0">
      <alignment horizontal="left" vertical="top" wrapText="1"/>
    </xf>
    <xf numFmtId="175" fontId="20" fillId="5" borderId="22" applyAlignment="1" pivotButton="0" quotePrefix="0" xfId="0">
      <alignment horizontal="right" vertical="center"/>
    </xf>
    <xf numFmtId="0" fontId="34" fillId="6" borderId="22" applyAlignment="1" pivotButton="0" quotePrefix="0" xfId="0">
      <alignment horizontal="left" vertical="top" wrapText="1"/>
    </xf>
    <xf numFmtId="0" fontId="4" fillId="18" borderId="22" applyAlignment="1" pivotButton="0" quotePrefix="0" xfId="0">
      <alignment horizontal="center" vertical="center"/>
    </xf>
    <xf numFmtId="0" fontId="20" fillId="5" borderId="22" applyAlignment="1" pivotButton="0" quotePrefix="0" xfId="0">
      <alignment horizontal="left" vertical="top" wrapText="1"/>
    </xf>
    <xf numFmtId="164" fontId="20" fillId="5" borderId="22" applyAlignment="1" pivotButton="0" quotePrefix="0" xfId="0">
      <alignment horizontal="right" vertical="center"/>
    </xf>
    <xf numFmtId="0" fontId="36" fillId="5" borderId="22" applyAlignment="1" pivotButton="0" quotePrefix="0" xfId="0">
      <alignment horizontal="left" vertical="top" wrapText="1"/>
    </xf>
    <xf numFmtId="0" fontId="8" fillId="11" borderId="22" pivotButton="0" quotePrefix="0" xfId="0"/>
    <xf numFmtId="177" fontId="8" fillId="11" borderId="22" applyAlignment="1" pivotButton="0" quotePrefix="0" xfId="0">
      <alignment horizontal="right" vertical="center"/>
    </xf>
    <xf numFmtId="178" fontId="8" fillId="11" borderId="22" applyAlignment="1" pivotButton="0" quotePrefix="0" xfId="0">
      <alignment horizontal="right" vertical="center"/>
    </xf>
    <xf numFmtId="0" fontId="4" fillId="2" borderId="22" pivotButton="0" quotePrefix="0" xfId="0"/>
    <xf numFmtId="0" fontId="32" fillId="2" borderId="22" applyAlignment="1" pivotButton="0" quotePrefix="0" xfId="0">
      <alignment horizontal="left" vertical="center"/>
    </xf>
    <xf numFmtId="179" fontId="1" fillId="2" borderId="2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35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28" customWidth="1" min="2" max="2"/>
    <col width="28" customWidth="1" min="3" max="3"/>
    <col width="35" customWidth="1" min="4" max="4"/>
    <col width="3" customWidth="1" min="5" max="5"/>
  </cols>
  <sheetData>
    <row r="1" ht="10" customHeight="1"/>
    <row r="2" ht="22" customHeight="1">
      <c r="B2" s="84" t="inlineStr">
        <is>
          <t>Shopify, Inc. (SHOP)  |  Deal Intelligence Workbook</t>
        </is>
      </c>
      <c r="C2" s="216" t="n"/>
      <c r="D2" s="216" t="n"/>
    </row>
    <row r="3" ht="20" customHeight="1">
      <c r="B3" s="86" t="inlineStr">
        <is>
          <t>NYSE: SHOP  |  Public Equity Long  |  Entry: ~$108/share  |  PT: $150  |  May 2026</t>
        </is>
      </c>
    </row>
    <row r="4" ht="12" customHeight="1">
      <c r="A4" s="87" t="n"/>
      <c r="B4" s="87" t="n"/>
      <c r="C4" s="87" t="n"/>
      <c r="D4" s="87" t="n"/>
      <c r="E4" s="87" t="n"/>
    </row>
    <row r="5" ht="18" customHeight="1">
      <c r="B5" s="217" t="inlineStr">
        <is>
          <t>Workbook Navigation</t>
        </is>
      </c>
      <c r="C5" s="216" t="n"/>
      <c r="D5" s="216" t="n"/>
    </row>
    <row r="6" ht="18" customHeight="1">
      <c r="B6" s="90" t="inlineStr">
        <is>
          <t>Tab</t>
        </is>
      </c>
      <c r="C6" s="90" t="inlineStr">
        <is>
          <t>Purpose</t>
        </is>
      </c>
      <c r="D6" s="90" t="inlineStr">
        <is>
          <t>Key Inputs</t>
        </is>
      </c>
    </row>
    <row r="7" ht="15" customHeight="1">
      <c r="B7" s="91" t="inlineStr">
        <is>
          <t>INPUTS</t>
        </is>
      </c>
      <c r="C7" s="92" t="inlineStr">
        <is>
          <t>Deal assumptions, entry/exit, thesis, NTB names</t>
        </is>
      </c>
      <c r="D7" s="92" t="inlineStr">
        <is>
          <t>Shopify entry at $108/share; 3-yr hold to FY2028</t>
        </is>
      </c>
    </row>
    <row r="8" ht="15" customHeight="1">
      <c r="B8" s="93" t="inlineStr">
        <is>
          <t>FINANCIALS</t>
        </is>
      </c>
      <c r="C8" s="94" t="inlineStr">
        <is>
          <t>Historical P&amp;L — FY2022–FY2025A (adj. non-GAAP)</t>
        </is>
      </c>
      <c r="D8" s="94" t="inlineStr">
        <is>
          <t>Pre-populated; edit to override</t>
        </is>
      </c>
    </row>
    <row r="9" ht="15" customHeight="1">
      <c r="B9" s="91" t="inlineStr">
        <is>
          <t>FINANCIAL MODEL</t>
        </is>
      </c>
      <c r="C9" s="92" t="inlineStr">
        <is>
          <t>Operating model — FY2022A + FY2026–2030E projections</t>
        </is>
      </c>
      <c r="D9" s="92" t="inlineStr">
        <is>
          <t>Yellow projection assumption cells</t>
        </is>
      </c>
    </row>
    <row r="10" ht="15" customHeight="1">
      <c r="B10" s="93" t="inlineStr">
        <is>
          <t>DRIVER TREE</t>
        </is>
      </c>
      <c r="C10" s="94" t="inlineStr">
        <is>
          <t>Thesis decomposition — GMV, Payments, AI, Enterprise</t>
        </is>
      </c>
      <c r="D10" s="94" t="inlineStr">
        <is>
          <t>Base/Upside EV per driver; NTB linkage</t>
        </is>
      </c>
    </row>
    <row r="11" ht="15" customHeight="1">
      <c r="B11" s="91" t="inlineStr">
        <is>
          <t>NTB REGISTRY</t>
        </is>
      </c>
      <c r="C11" s="92" t="inlineStr">
        <is>
          <t>6 Shopify NTBs — evidence, MOIC impact, gaps</t>
        </is>
      </c>
      <c r="D11" s="92" t="inlineStr">
        <is>
          <t>Evidence status; MOIC impact ($M)</t>
        </is>
      </c>
    </row>
    <row r="12" ht="15" customHeight="1">
      <c r="B12" s="93" t="inlineStr">
        <is>
          <t>KPI TREE</t>
        </is>
      </c>
      <c r="C12" s="94" t="inlineStr">
        <is>
          <t>Shopify KPI hierarchy mapped to financial model</t>
        </is>
      </c>
      <c r="D12" s="94" t="inlineStr">
        <is>
          <t>Budget (consensus) vs. actual (Q1'26A)</t>
        </is>
      </c>
    </row>
    <row r="13" ht="15" customHeight="1">
      <c r="B13" s="91" t="inlineStr">
        <is>
          <t>MOIC BRIDGE</t>
        </is>
      </c>
      <c r="C13" s="92" t="inlineStr">
        <is>
          <t>MOIC waterfall — entry equity to exit by NTB</t>
        </is>
      </c>
      <c r="D13" s="92" t="inlineStr">
        <is>
          <t>Pulls from NTB Registry &amp; INPUTS</t>
        </is>
      </c>
    </row>
    <row r="14" ht="12" customHeight="1">
      <c r="A14" s="87" t="n"/>
      <c r="B14" s="87" t="n"/>
      <c r="C14" s="87" t="n"/>
      <c r="D14" s="87" t="n"/>
      <c r="E14" s="87" t="n"/>
      <c r="F14" s="87" t="n"/>
    </row>
    <row r="15" ht="18" customHeight="1">
      <c r="B15" s="217" t="inlineStr">
        <is>
          <t>Investment Summary</t>
        </is>
      </c>
      <c r="C15" s="216" t="n"/>
      <c r="D15" s="216" t="n"/>
    </row>
    <row r="16" ht="18" customHeight="1">
      <c r="B16" s="90" t="inlineStr">
        <is>
          <t>Metric</t>
        </is>
      </c>
      <c r="C16" s="90" t="inlineStr">
        <is>
          <t>Value</t>
        </is>
      </c>
      <c r="D16" s="90" t="inlineStr">
        <is>
          <t>Source</t>
        </is>
      </c>
    </row>
    <row r="17" ht="15" customHeight="1">
      <c r="B17" s="91" t="inlineStr">
        <is>
          <t>Share Price (Entry)</t>
        </is>
      </c>
      <c r="C17" s="92" t="inlineStr">
        <is>
          <t>$108</t>
        </is>
      </c>
      <c r="D17" s="92" t="inlineStr">
        <is>
          <t>Post-Q1'26 earnings — May 6, 2026</t>
        </is>
      </c>
    </row>
    <row r="18" ht="15" customHeight="1">
      <c r="B18" s="93" t="inlineStr">
        <is>
          <t>Enterprise Value</t>
        </is>
      </c>
      <c r="C18" s="94" t="inlineStr">
        <is>
          <t>~$135B</t>
        </is>
      </c>
      <c r="D18" s="94" t="inlineStr">
        <is>
          <t>Mkt cap ~$141B less net cash ~$6.3B (FY25 + Q1 FCF)</t>
        </is>
      </c>
    </row>
    <row r="19" ht="15" customHeight="1">
      <c r="B19" s="91" t="inlineStr">
        <is>
          <t>Q1'26 Revenue</t>
        </is>
      </c>
      <c r="C19" s="92" t="inlineStr">
        <is>
          <t>$3,170M</t>
        </is>
      </c>
      <c r="D19" s="92" t="inlineStr">
        <is>
          <t>Shopify Q1'26 earnings release</t>
        </is>
      </c>
    </row>
    <row r="20" ht="15" customHeight="1">
      <c r="B20" s="93" t="inlineStr">
        <is>
          <t>Q1'26 GMV</t>
        </is>
      </c>
      <c r="C20" s="94" t="inlineStr">
        <is>
          <t>$100.7B</t>
        </is>
      </c>
      <c r="D20" s="94" t="inlineStr">
        <is>
          <t>+35% YoY; first $100B+ quarter</t>
        </is>
      </c>
    </row>
    <row r="21" ht="15" customHeight="1">
      <c r="B21" s="91" t="inlineStr">
        <is>
          <t>Q1'26 FCF Margin</t>
        </is>
      </c>
      <c r="C21" s="92" t="inlineStr">
        <is>
          <t>15.0%</t>
        </is>
      </c>
      <c r="D21" s="92" t="inlineStr">
        <is>
          <t>$476M FCF on $3,170M revenue</t>
        </is>
      </c>
    </row>
    <row r="22" ht="15" customHeight="1">
      <c r="B22" s="93" t="inlineStr">
        <is>
          <t>FY2026E Revenue</t>
        </is>
      </c>
      <c r="C22" s="94" t="inlineStr">
        <is>
          <t>$14,818M</t>
        </is>
      </c>
      <c r="D22" s="94" t="inlineStr">
        <is>
          <t>Model FY2026E consensus; GS/JPM/Baird buildup</t>
        </is>
      </c>
    </row>
    <row r="23" ht="15" customHeight="1">
      <c r="B23" s="91" t="inlineStr">
        <is>
          <t>FY2026E EBITDA Mgn</t>
        </is>
      </c>
      <c r="C23" s="92" t="inlineStr">
        <is>
          <t>~18.8%</t>
        </is>
      </c>
      <c r="D23" s="92" t="inlineStr">
        <is>
          <t>Model: ~$2,790M EBITDA on $14,818M revenue</t>
        </is>
      </c>
    </row>
    <row r="24" ht="15" customHeight="1">
      <c r="B24" s="93" t="inlineStr">
        <is>
          <t>12-mo Price Target</t>
        </is>
      </c>
      <c r="C24" s="94" t="inlineStr">
        <is>
          <t>$150</t>
        </is>
      </c>
      <c r="D24" s="94" t="inlineStr">
        <is>
          <t>+39% upside; memo thesis</t>
        </is>
      </c>
    </row>
    <row r="25" ht="15" customHeight="1">
      <c r="B25" s="91" t="inlineStr">
        <is>
          <t>3-yr Base MOIC</t>
        </is>
      </c>
      <c r="C25" s="92" t="inlineStr">
        <is>
          <t>~1.58x</t>
        </is>
      </c>
      <c r="D25" s="92" t="inlineStr">
        <is>
          <t>45x FY2028E EBITDA $4.7B + $12.4B net cash (model)</t>
        </is>
      </c>
    </row>
    <row r="26" ht="15" customHeight="1">
      <c r="B26" s="93" t="inlineStr">
        <is>
          <t>Conviction Level</t>
        </is>
      </c>
      <c r="C26" s="94" t="inlineStr">
        <is>
          <t>HIGH</t>
        </is>
      </c>
      <c r="D26" s="94" t="inlineStr">
        <is>
          <t>See NTB Registry for gating items</t>
        </is>
      </c>
    </row>
    <row r="27" ht="12" customHeight="1">
      <c r="A27" s="87" t="n"/>
      <c r="B27" s="87" t="n"/>
      <c r="C27" s="87" t="n"/>
      <c r="D27" s="87" t="n"/>
      <c r="E27" s="87" t="n"/>
      <c r="F27" s="87" t="n"/>
      <c r="G27" s="87" t="n"/>
    </row>
    <row r="28" ht="18" customHeight="1">
      <c r="B28" s="217" t="inlineStr">
        <is>
          <t>Color Coding</t>
        </is>
      </c>
      <c r="C28" s="216" t="n"/>
      <c r="D28" s="216" t="n"/>
    </row>
    <row r="29" ht="18" customHeight="1">
      <c r="B29" s="90" t="inlineStr">
        <is>
          <t>Color</t>
        </is>
      </c>
      <c r="C29" s="90" t="inlineStr">
        <is>
          <t>Meaning</t>
        </is>
      </c>
      <c r="D29" s="90" t="inlineStr">
        <is>
          <t>Action</t>
        </is>
      </c>
    </row>
    <row r="30" ht="15" customHeight="1">
      <c r="B30" s="92" t="inlineStr">
        <is>
          <t>BLUE text / YELLOW bg</t>
        </is>
      </c>
      <c r="C30" s="92" t="inlineStr">
        <is>
          <t>BLUE text / YELLOW bg</t>
        </is>
      </c>
      <c r="D30" s="92" t="inlineStr">
        <is>
          <t>Hardcoded input — override for scenario analysis</t>
        </is>
      </c>
    </row>
    <row r="31" ht="15" customHeight="1">
      <c r="B31" s="94" t="inlineStr">
        <is>
          <t>BLACK text</t>
        </is>
      </c>
      <c r="C31" s="94" t="inlineStr">
        <is>
          <t>BLACK text</t>
        </is>
      </c>
      <c r="D31" s="94" t="inlineStr">
        <is>
          <t>Formula — do not overwrite</t>
        </is>
      </c>
    </row>
    <row r="32" ht="15" customHeight="1">
      <c r="B32" s="92" t="inlineStr">
        <is>
          <t>GREEN text</t>
        </is>
      </c>
      <c r="C32" s="92" t="inlineStr">
        <is>
          <t>GREEN text</t>
        </is>
      </c>
      <c r="D32" s="92" t="inlineStr">
        <is>
          <t>Cross-sheet link — do not overwrite</t>
        </is>
      </c>
    </row>
    <row r="33" ht="15" customHeight="1">
      <c r="B33" s="94" t="inlineStr">
        <is>
          <t>Green background</t>
        </is>
      </c>
      <c r="C33" s="94" t="inlineStr">
        <is>
          <t>Green background</t>
        </is>
      </c>
      <c r="D33" s="94" t="inlineStr">
        <is>
          <t>Confirmed / PASS evidence status</t>
        </is>
      </c>
    </row>
    <row r="34" ht="15" customHeight="1">
      <c r="B34" s="92" t="inlineStr">
        <is>
          <t>Orange background</t>
        </is>
      </c>
      <c r="C34" s="92" t="inlineStr">
        <is>
          <t>Orange background</t>
        </is>
      </c>
      <c r="D34" s="92" t="inlineStr">
        <is>
          <t>Partial — needs more evidence</t>
        </is>
      </c>
    </row>
    <row r="35" ht="15" customHeight="1">
      <c r="B35" s="94" t="inlineStr">
        <is>
          <t>Red background</t>
        </is>
      </c>
      <c r="C35" s="94" t="inlineStr">
        <is>
          <t>Red background</t>
        </is>
      </c>
      <c r="D35" s="94" t="inlineStr">
        <is>
          <t>Gap / CRITICAL — NTB not yet supported</t>
        </is>
      </c>
    </row>
  </sheetData>
  <mergeCells count="5">
    <mergeCell ref="B28:D28"/>
    <mergeCell ref="B3:D3"/>
    <mergeCell ref="B5:D5"/>
    <mergeCell ref="B15:D15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N88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42" customWidth="1" min="2" max="2"/>
    <col width="16" customWidth="1" min="3" max="3"/>
    <col width="18" customWidth="1" min="4" max="4"/>
    <col width="14" customWidth="1" min="5" max="5"/>
    <col width="18" customWidth="1" min="6" max="6"/>
  </cols>
  <sheetData>
    <row r="2" ht="22" customHeight="1">
      <c r="B2" s="84" t="inlineStr">
        <is>
          <t>Deal Inputs — Shopify, Inc. (SHOP)</t>
        </is>
      </c>
      <c r="C2" s="216" t="n"/>
    </row>
    <row r="3" ht="12" customHeight="1">
      <c r="A3" s="87" t="n"/>
      <c r="B3" s="87" t="n"/>
      <c r="C3" s="87" t="n"/>
      <c r="D3" s="87" t="n"/>
      <c r="E3" s="87" t="n"/>
      <c r="F3" s="87" t="n"/>
      <c r="G3" s="87" t="n"/>
      <c r="H3" s="87" t="n"/>
      <c r="I3" s="87" t="n"/>
      <c r="J3" s="87" t="n"/>
    </row>
    <row r="4" ht="18" customHeight="1">
      <c r="B4" s="88" t="inlineStr">
        <is>
          <t>Company &amp; Deal</t>
        </is>
      </c>
      <c r="C4" s="216" t="n"/>
    </row>
    <row r="5" ht="18" customHeight="1">
      <c r="B5" s="90" t="inlineStr">
        <is>
          <t>Field</t>
        </is>
      </c>
      <c r="C5" s="90" t="inlineStr">
        <is>
          <t>Value</t>
        </is>
      </c>
    </row>
    <row r="6" ht="15" customHeight="1">
      <c r="B6" s="95" t="inlineStr">
        <is>
          <t>Company Name</t>
        </is>
      </c>
      <c r="C6" s="96" t="inlineStr">
        <is>
          <t>Shopify, Inc. (SHOP)</t>
        </is>
      </c>
    </row>
    <row r="7" ht="15" customHeight="1">
      <c r="B7" s="97" t="inlineStr">
        <is>
          <t>Deal Type</t>
        </is>
      </c>
      <c r="C7" s="98" t="inlineStr">
        <is>
          <t>Public Equity Long</t>
        </is>
      </c>
    </row>
    <row r="8" ht="15" customHeight="1">
      <c r="B8" s="95" t="inlineStr">
        <is>
          <t>Sector</t>
        </is>
      </c>
      <c r="C8" s="96" t="inlineStr">
        <is>
          <t>Technology / eCommerce Infrastructure</t>
        </is>
      </c>
    </row>
    <row r="9" ht="15" customHeight="1">
      <c r="B9" s="97" t="inlineStr">
        <is>
          <t>Investment Thesis (one sentence)</t>
        </is>
      </c>
      <c r="C9" s="98" t="inlineStr">
        <is>
          <t>Dominant commerce OS processing $100B+ qtrly GMV; Payments take-rate compounding 40%+ YoY; AI-native architecture positions SHOP as agentic-commerce infrastructure layer; post-Q1 selloff creates entry at 9.1x FY26E EV/Revenue.</t>
        </is>
      </c>
    </row>
    <row r="10" ht="15" customHeight="1">
      <c r="B10" s="95" t="inlineStr">
        <is>
          <t>Entry Year</t>
        </is>
      </c>
      <c r="C10" s="99" t="n">
        <v>2026</v>
      </c>
    </row>
    <row r="11" ht="15" customHeight="1">
      <c r="B11" s="97" t="inlineStr">
        <is>
          <t>Exit Year (projected)</t>
        </is>
      </c>
      <c r="C11" s="100" t="n">
        <v>2028</v>
      </c>
    </row>
    <row r="12" ht="12" customHeight="1">
      <c r="A12" s="87" t="n"/>
      <c r="B12" s="87" t="n"/>
      <c r="C12" s="87" t="n"/>
      <c r="D12" s="87" t="n"/>
      <c r="E12" s="87" t="n"/>
      <c r="F12" s="87" t="n"/>
      <c r="G12" s="87" t="n"/>
      <c r="H12" s="87" t="n"/>
      <c r="I12" s="87" t="n"/>
      <c r="J12" s="87" t="n"/>
      <c r="K12" s="87" t="n"/>
    </row>
    <row r="13" ht="18" customHeight="1">
      <c r="B13" s="88" t="inlineStr">
        <is>
          <t>Entry Assumptions (at $108/share — May 2026)</t>
        </is>
      </c>
      <c r="C13" s="216" t="n"/>
    </row>
    <row r="14" ht="18" customHeight="1">
      <c r="B14" s="90" t="inlineStr">
        <is>
          <t>Metric ($M unless noted)</t>
        </is>
      </c>
      <c r="C14" s="90" t="inlineStr">
        <is>
          <t>Value</t>
        </is>
      </c>
    </row>
    <row r="15" ht="15" customHeight="1">
      <c r="B15" s="95" t="inlineStr">
        <is>
          <t>Entry Revenue ($M)   [FY2026E, model]</t>
        </is>
      </c>
      <c r="C15" s="101" t="n">
        <v>14818</v>
      </c>
    </row>
    <row r="16" ht="15" customHeight="1">
      <c r="B16" s="97" t="inlineStr">
        <is>
          <t>Entry EBITDA ($M)   [FY2026E, 18.8% adj.]</t>
        </is>
      </c>
      <c r="C16" s="102" t="n">
        <v>2790</v>
      </c>
    </row>
    <row r="17" ht="15" customHeight="1">
      <c r="B17" s="95" t="inlineStr">
        <is>
          <t>Entry EBITDA Margin</t>
        </is>
      </c>
      <c r="C17" s="103" t="n">
        <v>0.188</v>
      </c>
    </row>
    <row r="18" ht="15" customHeight="1">
      <c r="B18" s="97" t="inlineStr">
        <is>
          <t>Entry EV/EBITDA Multiple  [NTM FY2026E]</t>
        </is>
      </c>
      <c r="C18" s="104" t="n">
        <v>48.5</v>
      </c>
    </row>
    <row r="19" ht="15" customHeight="1">
      <c r="B19" s="95" t="inlineStr">
        <is>
          <t>Entry EV ($M)  [=EBITDA × Multiple]</t>
        </is>
      </c>
      <c r="C19" s="105">
        <f>C16*C18</f>
        <v/>
      </c>
    </row>
    <row r="20" ht="15" customHeight="1">
      <c r="B20" s="97" t="inlineStr">
        <is>
          <t>Net Debt at Entry ($M)  [net cash: FY25 + Q1'26 FCF]</t>
        </is>
      </c>
      <c r="C20" s="102" t="n">
        <v>-6254</v>
      </c>
    </row>
    <row r="21" ht="15" customHeight="1">
      <c r="B21" s="95" t="inlineStr">
        <is>
          <t>Equity Invested ($M)  [=EV − Net Debt]</t>
        </is>
      </c>
      <c r="C21" s="105">
        <f>C19-C20</f>
        <v/>
      </c>
    </row>
    <row r="22" ht="12" customHeight="1">
      <c r="A22" s="87" t="n"/>
      <c r="B22" s="87" t="n"/>
      <c r="C22" s="87" t="n"/>
      <c r="D22" s="87" t="n"/>
      <c r="E22" s="87" t="n"/>
      <c r="F22" s="87" t="n"/>
      <c r="G22" s="87" t="n"/>
      <c r="H22" s="87" t="n"/>
      <c r="I22" s="87" t="n"/>
      <c r="J22" s="87" t="n"/>
      <c r="K22" s="87" t="n"/>
      <c r="L22" s="87" t="n"/>
    </row>
    <row r="23" ht="18" customHeight="1">
      <c r="B23" s="88" t="inlineStr">
        <is>
          <t>Exit Assumptions (FY2028E Base Case)</t>
        </is>
      </c>
      <c r="C23" s="216" t="n"/>
    </row>
    <row r="24" ht="18" customHeight="1">
      <c r="B24" s="90" t="inlineStr">
        <is>
          <t>Metric</t>
        </is>
      </c>
      <c r="C24" s="90" t="inlineStr">
        <is>
          <t>Value</t>
        </is>
      </c>
    </row>
    <row r="25" ht="15" customHeight="1">
      <c r="B25" s="95" t="inlineStr">
        <is>
          <t>Exit Revenue ($M)  [FY2028E, model]</t>
        </is>
      </c>
      <c r="C25" s="101" t="n">
        <v>22138</v>
      </c>
    </row>
    <row r="26" ht="15" customHeight="1">
      <c r="B26" s="97" t="inlineStr">
        <is>
          <t>Exit EBITDA ($M)  [FY2028E, ~21.2% margin]</t>
        </is>
      </c>
      <c r="C26" s="102" t="n">
        <v>4687</v>
      </c>
    </row>
    <row r="27" ht="15" customHeight="1">
      <c r="B27" s="95" t="inlineStr">
        <is>
          <t>Exit EV/EBITDA Multiple</t>
        </is>
      </c>
      <c r="C27" s="106" t="n">
        <v>45</v>
      </c>
    </row>
    <row r="28" ht="15" customHeight="1">
      <c r="B28" s="97" t="inlineStr">
        <is>
          <t>Exit EV ($M)  [=EBITDA × Multiple]</t>
        </is>
      </c>
      <c r="C28" s="107">
        <f>C26*C27</f>
        <v/>
      </c>
    </row>
    <row r="29" ht="15" customHeight="1">
      <c r="B29" s="95" t="inlineStr">
        <is>
          <t>Net Debt at Exit ($M)  [model cash $12.4B, $0 debt]</t>
        </is>
      </c>
      <c r="C29" s="101" t="n">
        <v>-12369</v>
      </c>
    </row>
    <row r="30" ht="15" customHeight="1">
      <c r="B30" s="97" t="inlineStr">
        <is>
          <t>Proceeds to Equity ($M)  [=Exit EV − Net Debt]</t>
        </is>
      </c>
      <c r="C30" s="107">
        <f>C28-C29</f>
        <v/>
      </c>
    </row>
    <row r="31" ht="12" customHeight="1">
      <c r="A31" s="87" t="n"/>
      <c r="B31" s="87" t="n"/>
      <c r="C31" s="87" t="n"/>
      <c r="D31" s="87" t="n"/>
      <c r="E31" s="87" t="n"/>
      <c r="F31" s="87" t="n"/>
      <c r="G31" s="87" t="n"/>
      <c r="H31" s="87" t="n"/>
      <c r="I31" s="87" t="n"/>
      <c r="J31" s="87" t="n"/>
      <c r="K31" s="87" t="n"/>
      <c r="L31" s="87" t="n"/>
      <c r="M31" s="87" t="n"/>
    </row>
    <row r="32" ht="18" customHeight="1">
      <c r="B32" s="88" t="inlineStr">
        <is>
          <t>Returns Summary</t>
        </is>
      </c>
      <c r="C32" s="216" t="n"/>
    </row>
    <row r="33" ht="18" customHeight="1">
      <c r="B33" s="90" t="inlineStr">
        <is>
          <t>Metric</t>
        </is>
      </c>
      <c r="C33" s="90" t="inlineStr">
        <is>
          <t>Value</t>
        </is>
      </c>
    </row>
    <row r="34" ht="15" customHeight="1">
      <c r="B34" s="95" t="inlineStr">
        <is>
          <t>Gross MOIC</t>
        </is>
      </c>
      <c r="C34" s="108">
        <f>IFERROR(C30/C21,"-")</f>
        <v/>
      </c>
    </row>
    <row r="35" ht="15" customHeight="1">
      <c r="B35" s="97" t="inlineStr">
        <is>
          <t>Holding Period (Years)</t>
        </is>
      </c>
      <c r="C35" s="109">
        <f>IFERROR(C11-C10,"-")</f>
        <v/>
      </c>
    </row>
    <row r="36" ht="15" customHeight="1">
      <c r="B36" s="95" t="inlineStr">
        <is>
          <t>Implied IRR (approx)</t>
        </is>
      </c>
      <c r="C36" s="110">
        <f>IFERROR(POWER(C30/C21,1/(C11-C10))-1,"-")</f>
        <v/>
      </c>
    </row>
    <row r="37" ht="12" customHeight="1">
      <c r="A37" s="87" t="n"/>
      <c r="B37" s="87" t="n"/>
      <c r="C37" s="87" t="n"/>
      <c r="D37" s="87" t="n"/>
      <c r="E37" s="87" t="n"/>
      <c r="F37" s="87" t="n"/>
      <c r="G37" s="87" t="n"/>
      <c r="H37" s="87" t="n"/>
      <c r="I37" s="87" t="n"/>
      <c r="J37" s="87" t="n"/>
      <c r="K37" s="87" t="n"/>
      <c r="L37" s="87" t="n"/>
      <c r="M37" s="87" t="n"/>
      <c r="N37" s="87" t="n"/>
    </row>
    <row r="38" ht="18" customHeight="1">
      <c r="B38" s="88" t="inlineStr">
        <is>
          <t>NTB Registry — Need-to-Believe Statements</t>
        </is>
      </c>
      <c r="C38" s="216" t="n"/>
    </row>
    <row r="39">
      <c r="B39" s="111" t="inlineStr">
        <is>
          <t>Shopify has 6 NTBs. Statements below link to NTB Registry &amp; Driver Tree tabs.</t>
        </is>
      </c>
    </row>
    <row r="40" ht="18" customHeight="1">
      <c r="B40" s="90" t="inlineStr">
        <is>
          <t>NTB #</t>
        </is>
      </c>
      <c r="C40" s="90" t="inlineStr">
        <is>
          <t>NTB Statement</t>
        </is>
      </c>
    </row>
    <row r="41" ht="15" customHeight="1">
      <c r="B41" s="112" t="inlineStr">
        <is>
          <t>NTB 1</t>
        </is>
      </c>
      <c r="C41" s="96" t="inlineStr">
        <is>
          <t>NTB-1: GMV growth sustains 25%+ through FY2027 despite tougher comps &amp; FX normalisation [H / LOW / CRITICAL]</t>
        </is>
      </c>
    </row>
    <row r="42" ht="15" customHeight="1">
      <c r="B42" s="113" t="inlineStr">
        <is>
          <t>NTB 2</t>
        </is>
      </c>
      <c r="C42" s="98" t="inlineStr">
        <is>
          <t>NTB-2: Shopify Payments GPV penetration reaches 70%+ within 24 months; take-rate expands to 2.50%+ of GMV [H / MEDIUM / CRITICAL]</t>
        </is>
      </c>
    </row>
    <row r="43" ht="15" customHeight="1">
      <c r="B43" s="112" t="inlineStr">
        <is>
          <t>NTB 3</t>
        </is>
      </c>
      <c r="C43" s="96" t="inlineStr">
        <is>
          <t>NTB-3: AI-driven commerce (Sidekick, UCP, agentic checkout) is net revenue-positive; LLM cost inflation contained [H / LOW / CRITICAL]</t>
        </is>
      </c>
    </row>
    <row r="44" ht="15" customHeight="1">
      <c r="B44" s="113" t="inlineStr">
        <is>
          <t>NTB 4</t>
        </is>
      </c>
      <c r="C44" s="98" t="inlineStr">
        <is>
          <t>NTB-4: Enterprise wins (Shopify Plus) are durable and do not erode margins via bespoke development [E / MEDIUM / NON-CRITICAL]</t>
        </is>
      </c>
    </row>
    <row r="45" ht="15" customHeight="1">
      <c r="B45" s="112" t="inlineStr">
        <is>
          <t>NTB 5</t>
        </is>
      </c>
      <c r="C45" s="96" t="inlineStr">
        <is>
          <t>NTB-5: FCF margin expands from 15-17% to 20%+ by FY2028 without sacrificing 25%+ revenue growth [E / MEDIUM / PARTIAL]</t>
        </is>
      </c>
    </row>
    <row r="46" ht="15" customHeight="1">
      <c r="B46" s="113" t="inlineStr">
        <is>
          <t>NTB 6</t>
        </is>
      </c>
      <c r="C46" s="98" t="inlineStr">
        <is>
          <t>NTB-6: Consumer/macro does not materially deteriorate in FY2026-27, sustaining SMB GMV compounding [H / LOW / CRITICAL]</t>
        </is>
      </c>
    </row>
    <row r="47" ht="15" customHeight="1">
      <c r="B47" s="112" t="inlineStr">
        <is>
          <t>NTB 7</t>
        </is>
      </c>
      <c r="C47" s="96" t="inlineStr"/>
    </row>
    <row r="50" ht="18" customHeight="1">
      <c r="B50" s="88" t="inlineStr">
        <is>
          <t>Driver Attribution Assumptions</t>
        </is>
      </c>
      <c r="C50" s="85" t="n"/>
    </row>
    <row r="51" ht="12" customHeight="1">
      <c r="A51" s="87" t="n"/>
      <c r="B51" s="87" t="n"/>
      <c r="C51" s="87" t="n"/>
      <c r="D51" s="87" t="n"/>
    </row>
    <row r="52" ht="16" customHeight="1">
      <c r="B52" s="114" t="inlineStr">
        <is>
          <t>Model-Derived Parameters</t>
        </is>
      </c>
      <c r="C52" s="115" t="n"/>
    </row>
    <row r="53" ht="18" customHeight="1">
      <c r="B53" s="90" t="inlineStr">
        <is>
          <t>Parameter</t>
        </is>
      </c>
      <c r="C53" s="90" t="inlineStr">
        <is>
          <t>Value ($M)</t>
        </is>
      </c>
    </row>
    <row r="54" ht="15" customHeight="1">
      <c r="B54" s="116" t="inlineStr">
        <is>
          <t>EBITDA Growth ($M)</t>
        </is>
      </c>
      <c r="C54" s="117">
        <f>C26-C16</f>
        <v/>
      </c>
    </row>
    <row r="55" ht="15" customHeight="1">
      <c r="B55" s="118" t="inlineStr">
        <is>
          <t>Entry EV/EBITDA Multiple</t>
        </is>
      </c>
      <c r="C55" s="119">
        <f>C18</f>
        <v/>
      </c>
    </row>
    <row r="56" ht="15" customHeight="1">
      <c r="B56" s="116" t="inlineStr">
        <is>
          <t>EBITDA-Driven EV Pool ($M)</t>
        </is>
      </c>
      <c r="C56" s="117">
        <f>(C26-C16)*C18</f>
        <v/>
      </c>
    </row>
    <row r="57" ht="15" customHeight="1">
      <c r="B57" s="118" t="inlineStr">
        <is>
          <t>Multiple Compression Effect ($M)</t>
        </is>
      </c>
      <c r="C57" s="119">
        <f>(C27-C18)*C26</f>
        <v/>
      </c>
    </row>
    <row r="58" ht="15" customHeight="1">
      <c r="B58" s="116" t="inlineStr">
        <is>
          <t>Net Cash Build ($M)</t>
        </is>
      </c>
      <c r="C58" s="117">
        <f>-(C29-C20)</f>
        <v/>
      </c>
    </row>
    <row r="59" ht="15" customHeight="1">
      <c r="B59" s="118" t="inlineStr">
        <is>
          <t>Total Value Creation ($M)</t>
        </is>
      </c>
      <c r="C59" s="119">
        <f>C30-C21</f>
        <v/>
      </c>
    </row>
    <row r="60" ht="12" customHeight="1">
      <c r="A60" s="87" t="n"/>
      <c r="B60" s="87" t="n"/>
      <c r="C60" s="87" t="n"/>
      <c r="D60" s="87" t="n"/>
      <c r="E60" s="87" t="n"/>
    </row>
    <row r="61" ht="16" customHeight="1">
      <c r="A61" s="87" t="n"/>
      <c r="B61" s="114" t="inlineStr">
        <is>
          <t>Revenue Driver Attribution</t>
        </is>
      </c>
      <c r="C61" s="115" t="n"/>
      <c r="D61" s="115" t="n"/>
      <c r="E61" s="115" t="n"/>
      <c r="F61" s="115" t="n"/>
    </row>
    <row r="62" ht="18" customHeight="1">
      <c r="B62" s="90" t="inlineStr">
        <is>
          <t>Driver</t>
        </is>
      </c>
      <c r="C62" s="120" t="inlineStr">
        <is>
          <t>% Alloc</t>
        </is>
      </c>
      <c r="D62" s="120" t="inlineStr">
        <is>
          <t>Base EV ($M)</t>
        </is>
      </c>
      <c r="E62" s="120" t="inlineStr">
        <is>
          <t>Upside Factor</t>
        </is>
      </c>
      <c r="F62" s="120" t="inlineStr">
        <is>
          <t>Upside EV ($M)</t>
        </is>
      </c>
    </row>
    <row r="63" ht="15" customHeight="1">
      <c r="B63" s="116" t="inlineStr">
        <is>
          <t>GMV Same-Cohort (B1a)</t>
        </is>
      </c>
      <c r="C63" s="121" t="n">
        <v>0.272</v>
      </c>
      <c r="D63" s="117">
        <f>C63*$C$56</f>
        <v/>
      </c>
      <c r="E63" s="122" t="n">
        <v>1.4</v>
      </c>
      <c r="F63" s="117">
        <f>D63*E63</f>
        <v/>
      </c>
    </row>
    <row r="64" ht="15" customHeight="1">
      <c r="B64" s="118" t="inlineStr">
        <is>
          <t>New Merchant Acquisition (A1)</t>
        </is>
      </c>
      <c r="C64" s="123" t="n">
        <v>0.163</v>
      </c>
      <c r="D64" s="119">
        <f>C64*$C$56</f>
        <v/>
      </c>
      <c r="E64" s="124" t="n">
        <v>1.47</v>
      </c>
      <c r="F64" s="119">
        <f>D64*E64</f>
        <v/>
      </c>
    </row>
    <row r="65" ht="15" customHeight="1">
      <c r="B65" s="116" t="inlineStr">
        <is>
          <t>Geographic ex-NA (B1e)</t>
        </is>
      </c>
      <c r="C65" s="121" t="n">
        <v>0.08699999999999999</v>
      </c>
      <c r="D65" s="117">
        <f>C65*$C$56</f>
        <v/>
      </c>
      <c r="E65" s="122" t="n">
        <v>1.75</v>
      </c>
      <c r="F65" s="117">
        <f>D65*E65</f>
        <v/>
      </c>
    </row>
    <row r="66" ht="15" customHeight="1">
      <c r="B66" s="118" t="inlineStr">
        <is>
          <t>GPV Penetration (B2a)</t>
        </is>
      </c>
      <c r="C66" s="123" t="n">
        <v>0.131</v>
      </c>
      <c r="D66" s="119">
        <f>C66*$C$56</f>
        <v/>
      </c>
      <c r="E66" s="124" t="n">
        <v>1.67</v>
      </c>
      <c r="F66" s="119">
        <f>D66*E66</f>
        <v/>
      </c>
    </row>
    <row r="67" ht="15" customHeight="1">
      <c r="B67" s="116" t="inlineStr">
        <is>
          <t>Payments Take Rate (B2b)</t>
        </is>
      </c>
      <c r="C67" s="121" t="n">
        <v>0.065</v>
      </c>
      <c r="D67" s="117">
        <f>C67*$C$56</f>
        <v/>
      </c>
      <c r="E67" s="122" t="n">
        <v>1.67</v>
      </c>
      <c r="F67" s="117">
        <f>D67*E67</f>
        <v/>
      </c>
    </row>
    <row r="68" ht="15" customHeight="1">
      <c r="B68" s="118" t="inlineStr">
        <is>
          <t>Capital / MCA (B2c)</t>
        </is>
      </c>
      <c r="C68" s="123" t="n">
        <v>0.022</v>
      </c>
      <c r="D68" s="119">
        <f>C68*$C$56</f>
        <v/>
      </c>
      <c r="E68" s="124" t="n">
        <v>2.5</v>
      </c>
      <c r="F68" s="119">
        <f>D68*E68</f>
        <v/>
      </c>
    </row>
    <row r="69" ht="15" customHeight="1">
      <c r="B69" s="116" t="inlineStr">
        <is>
          <t>Enterprise Plus MRR (A2)</t>
        </is>
      </c>
      <c r="C69" s="121" t="n">
        <v>0.044</v>
      </c>
      <c r="D69" s="117">
        <f>C69*$C$56</f>
        <v/>
      </c>
      <c r="E69" s="122" t="n">
        <v>2</v>
      </c>
      <c r="F69" s="117">
        <f>D69*E69</f>
        <v/>
      </c>
    </row>
    <row r="70" ht="15" customHeight="1">
      <c r="B70" s="118" t="inlineStr">
        <is>
          <t>Enterprise GMV Concentration (B1c)</t>
        </is>
      </c>
      <c r="C70" s="123" t="n">
        <v>0.022</v>
      </c>
      <c r="D70" s="119">
        <f>C70*$C$56</f>
        <v/>
      </c>
      <c r="E70" s="124" t="n">
        <v>2.5</v>
      </c>
      <c r="F70" s="119">
        <f>D70*E70</f>
        <v/>
      </c>
    </row>
    <row r="71" ht="12" customHeight="1">
      <c r="A71" s="87" t="n"/>
      <c r="B71" s="87" t="n"/>
      <c r="C71" s="87" t="n"/>
      <c r="D71" s="87" t="n"/>
      <c r="E71" s="87" t="n"/>
      <c r="F71" s="87" t="n"/>
      <c r="G71" s="87" t="n"/>
    </row>
    <row r="72" ht="16" customHeight="1">
      <c r="B72" s="114" t="inlineStr">
        <is>
          <t>Margin Driver Attribution</t>
        </is>
      </c>
      <c r="C72" s="115" t="n"/>
      <c r="D72" s="115" t="n"/>
      <c r="E72" s="115" t="n"/>
      <c r="F72" s="115" t="n"/>
    </row>
    <row r="73" ht="18" customHeight="1">
      <c r="B73" s="90" t="inlineStr">
        <is>
          <t>Driver</t>
        </is>
      </c>
      <c r="C73" s="120" t="inlineStr">
        <is>
          <t>bps</t>
        </is>
      </c>
      <c r="D73" s="120" t="inlineStr">
        <is>
          <t>Base EV ($M)</t>
        </is>
      </c>
      <c r="E73" s="120" t="inlineStr">
        <is>
          <t>Factor</t>
        </is>
      </c>
      <c r="F73" s="120" t="inlineStr">
        <is>
          <t>Upside EV ($M)</t>
        </is>
      </c>
    </row>
    <row r="74" ht="15" customHeight="1">
      <c r="B74" s="116" t="inlineStr">
        <is>
          <t>OpEx Leverage (bps improvement)</t>
        </is>
      </c>
      <c r="C74" s="125" t="n">
        <v>240</v>
      </c>
      <c r="D74" s="117">
        <f>(C74/10000)*$C$25*$C$27</f>
        <v/>
      </c>
      <c r="E74" s="122" t="n">
        <v>1.75</v>
      </c>
      <c r="F74" s="117">
        <f>D74*E74</f>
        <v/>
      </c>
    </row>
    <row r="75" ht="15" customHeight="1">
      <c r="B75" s="118" t="inlineStr">
        <is>
          <t>Sub Solutions Gross Margin (bps)</t>
        </is>
      </c>
      <c r="C75" s="126" t="n">
        <v>60</v>
      </c>
      <c r="D75" s="119">
        <f>(C75/10000)*$C$25*$C$27</f>
        <v/>
      </c>
      <c r="E75" s="124" t="n">
        <v>1.5</v>
      </c>
      <c r="F75" s="119">
        <f>D75*E75</f>
        <v/>
      </c>
    </row>
    <row r="76" ht="12" customHeight="1">
      <c r="A76" s="87" t="n"/>
      <c r="B76" s="87" t="n"/>
      <c r="C76" s="87" t="n"/>
      <c r="D76" s="87" t="n"/>
      <c r="E76" s="87" t="n"/>
      <c r="F76" s="87" t="n"/>
      <c r="G76" s="87" t="n"/>
      <c r="H76" s="87" t="n"/>
    </row>
    <row r="77" ht="16" customHeight="1">
      <c r="B77" s="114" t="inlineStr">
        <is>
          <t>Formula-Derived &amp; Asymmetric Drivers</t>
        </is>
      </c>
      <c r="C77" s="115" t="n"/>
      <c r="D77" s="115" t="n"/>
      <c r="E77" s="115" t="n"/>
      <c r="F77" s="115" t="n"/>
    </row>
    <row r="78" ht="18" customHeight="1">
      <c r="B78" s="90" t="inlineStr">
        <is>
          <t>Driver</t>
        </is>
      </c>
      <c r="C78" s="120" t="inlineStr">
        <is>
          <t>Input ($M)</t>
        </is>
      </c>
      <c r="D78" s="120" t="inlineStr">
        <is>
          <t>Base EV ($M)</t>
        </is>
      </c>
      <c r="E78" s="120" t="inlineStr"/>
      <c r="F78" s="120" t="inlineStr">
        <is>
          <t>Upside EV ($M)</t>
        </is>
      </c>
    </row>
    <row r="79" ht="15" customHeight="1">
      <c r="B79" s="116" t="inlineStr">
        <is>
          <t>Multiple Compression / Re-rating</t>
        </is>
      </c>
      <c r="C79" s="127" t="n"/>
      <c r="D79" s="117">
        <f>(C27-C18)*C26</f>
        <v/>
      </c>
      <c r="E79" s="127" t="n"/>
      <c r="F79" s="125" t="n">
        <v>5000</v>
      </c>
    </row>
    <row r="80" ht="15" customHeight="1">
      <c r="B80" s="118" t="inlineStr">
        <is>
          <t>Macro / Consumer Risk ($M)</t>
        </is>
      </c>
      <c r="C80" s="126" t="n">
        <v>-5000</v>
      </c>
      <c r="D80" s="119">
        <f>C80</f>
        <v/>
      </c>
      <c r="E80" s="128" t="n"/>
      <c r="F80" s="126" t="n">
        <v>2000</v>
      </c>
    </row>
    <row r="81" ht="15" customHeight="1">
      <c r="B81" s="116" t="inlineStr">
        <is>
          <t>AI / Sidekick-C1 (upside only)</t>
        </is>
      </c>
      <c r="C81" s="127" t="n"/>
      <c r="D81" s="117" t="n">
        <v>0</v>
      </c>
      <c r="E81" s="127" t="n"/>
      <c r="F81" s="125" t="n">
        <v>15000</v>
      </c>
    </row>
    <row r="82" ht="15" customHeight="1">
      <c r="B82" s="118" t="inlineStr">
        <is>
          <t>AI / UCP-C3 (upside only)</t>
        </is>
      </c>
      <c r="C82" s="128" t="n"/>
      <c r="D82" s="119" t="n">
        <v>0</v>
      </c>
      <c r="E82" s="128" t="n"/>
      <c r="F82" s="126" t="n">
        <v>25000</v>
      </c>
    </row>
    <row r="83" ht="12" customHeight="1">
      <c r="A83" s="87" t="n"/>
      <c r="B83" s="87" t="n"/>
      <c r="C83" s="87" t="n"/>
      <c r="D83" s="87" t="n"/>
      <c r="E83" s="87" t="n"/>
      <c r="F83" s="87" t="n"/>
      <c r="G83" s="87" t="n"/>
      <c r="H83" s="87" t="n"/>
      <c r="I83" s="87" t="n"/>
    </row>
    <row r="84" ht="16" customHeight="1">
      <c r="B84" s="114" t="inlineStr">
        <is>
          <t>Attribution Check</t>
        </is>
      </c>
      <c r="C84" s="115" t="n"/>
      <c r="D84" s="115" t="n"/>
      <c r="E84" s="115" t="n"/>
      <c r="F84" s="115" t="n"/>
    </row>
    <row r="85" ht="18" customHeight="1">
      <c r="B85" s="90" t="inlineStr">
        <is>
          <t>Check</t>
        </is>
      </c>
      <c r="C85" s="90" t="inlineStr"/>
      <c r="D85" s="90" t="inlineStr">
        <is>
          <t>Value ($M)</t>
        </is>
      </c>
      <c r="E85" s="90" t="inlineStr"/>
      <c r="F85" s="90" t="inlineStr"/>
    </row>
    <row r="86" ht="15" customHeight="1">
      <c r="B86" s="116" t="inlineStr">
        <is>
          <t>Total Base EV from Drivers</t>
        </is>
      </c>
      <c r="C86" s="127" t="n"/>
      <c r="D86" s="117">
        <f>SUM(D63:D70)+SUM(D74:D75)+D79+D80</f>
        <v/>
      </c>
      <c r="E86" s="127" t="n"/>
      <c r="F86" s="127" t="n"/>
    </row>
    <row r="87" ht="15" customHeight="1">
      <c r="B87" s="118" t="inlineStr">
        <is>
          <t>Total Value Creation (INPUTS)</t>
        </is>
      </c>
      <c r="C87" s="128" t="n"/>
      <c r="D87" s="119">
        <f>C30-C21</f>
        <v/>
      </c>
      <c r="E87" s="128" t="n"/>
      <c r="F87" s="128" t="n"/>
    </row>
    <row r="88" ht="15" customHeight="1">
      <c r="B88" s="129" t="inlineStr">
        <is>
          <t>Unattributed / Rounding</t>
        </is>
      </c>
      <c r="C88" s="130" t="n"/>
      <c r="D88" s="131">
        <f>D87-D86</f>
        <v/>
      </c>
      <c r="E88" s="130" t="n"/>
      <c r="F88" s="130" t="n"/>
    </row>
  </sheetData>
  <mergeCells count="7">
    <mergeCell ref="B13:C13"/>
    <mergeCell ref="B39:C39"/>
    <mergeCell ref="B38:C38"/>
    <mergeCell ref="B2:C2"/>
    <mergeCell ref="B23:C23"/>
    <mergeCell ref="B32:C32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I35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35" customWidth="1" min="7" max="7"/>
  </cols>
  <sheetData>
    <row r="2" ht="22" customHeight="1">
      <c r="B2" s="84" t="inlineStr">
        <is>
          <t>Historical Financials — Shopify FY2022–FY2025A (Adj. Non-GAAP, $M)</t>
        </is>
      </c>
      <c r="C2" s="216" t="n"/>
      <c r="D2" s="216" t="n"/>
      <c r="E2" s="216" t="n"/>
      <c r="F2" s="216" t="n"/>
      <c r="G2" s="85" t="n"/>
    </row>
    <row r="3" ht="12" customHeight="1">
      <c r="A3" s="87" t="n"/>
      <c r="B3" s="87" t="n"/>
      <c r="C3" s="87" t="n"/>
      <c r="D3" s="87" t="n"/>
      <c r="E3" s="87" t="n"/>
      <c r="F3" s="87" t="n"/>
      <c r="G3" s="87" t="n"/>
      <c r="H3" s="87" t="n"/>
    </row>
    <row r="4">
      <c r="B4" s="111" t="inlineStr">
        <is>
          <t>Adj. non-GAAP figures. Revenue/GP/EBITDA from earnings releases. OpEx split approximate. Sources: Shopify Q1'26 earnings; GS, JPM, Citizens, Baird, KeyBanc research (May 2026).</t>
        </is>
      </c>
    </row>
    <row r="5" ht="12" customHeight="1">
      <c r="A5" s="87" t="n"/>
      <c r="B5" s="87" t="n"/>
      <c r="C5" s="87" t="n"/>
      <c r="D5" s="87" t="n"/>
      <c r="E5" s="87" t="n"/>
      <c r="F5" s="87" t="n"/>
      <c r="G5" s="87" t="n"/>
      <c r="H5" s="87" t="n"/>
      <c r="I5" s="87" t="n"/>
    </row>
    <row r="6" ht="18" customHeight="1">
      <c r="B6" s="90" t="inlineStr">
        <is>
          <t>Line Item ($M)</t>
        </is>
      </c>
      <c r="C6" s="120" t="inlineStr">
        <is>
          <t>FY2022</t>
        </is>
      </c>
      <c r="D6" s="120" t="inlineStr">
        <is>
          <t>FY2023</t>
        </is>
      </c>
      <c r="E6" s="120" t="inlineStr">
        <is>
          <t>FY2024</t>
        </is>
      </c>
      <c r="F6" s="120" t="inlineStr">
        <is>
          <t>FY2025A</t>
        </is>
      </c>
      <c r="G6" s="120" t="inlineStr">
        <is>
          <t>Notes / Source</t>
        </is>
      </c>
    </row>
    <row r="7" ht="15" customHeight="1">
      <c r="B7" s="132" t="inlineStr">
        <is>
          <t>INCOME STATEMENT</t>
        </is>
      </c>
      <c r="C7" s="218" t="n"/>
      <c r="D7" s="218" t="n"/>
      <c r="E7" s="218" t="n"/>
      <c r="F7" s="218" t="n"/>
      <c r="G7" s="133" t="n"/>
    </row>
    <row r="8" ht="15" customHeight="1">
      <c r="B8" s="97" t="inlineStr">
        <is>
          <t>Revenue ($M)</t>
        </is>
      </c>
      <c r="C8" s="134" t="n">
        <v>5600</v>
      </c>
      <c r="D8" s="134" t="n">
        <v>7060</v>
      </c>
      <c r="E8" s="134" t="n">
        <v>8880</v>
      </c>
      <c r="F8" s="134" t="n">
        <v>11556</v>
      </c>
      <c r="G8" s="135" t="inlineStr">
        <is>
          <t>Shopify Q1/Q4'26 earnings releases; FY2025A +30.2% YoY</t>
        </is>
      </c>
    </row>
    <row r="9" ht="15" customHeight="1">
      <c r="B9" s="95" t="inlineStr">
        <is>
          <t xml:space="preserve">  YoY Growth %</t>
        </is>
      </c>
      <c r="C9" s="136" t="n"/>
      <c r="D9" s="136" t="n">
        <v>0.262</v>
      </c>
      <c r="E9" s="136" t="n">
        <v>0.258</v>
      </c>
      <c r="F9" s="136" t="n">
        <v>0.302</v>
      </c>
      <c r="G9" s="137" t="inlineStr">
        <is>
          <t>Calculated YoY</t>
        </is>
      </c>
    </row>
    <row r="10" ht="15" customHeight="1">
      <c r="B10" s="97" t="inlineStr">
        <is>
          <t>Cost of Revenue ($M)</t>
        </is>
      </c>
      <c r="C10" s="134" t="n">
        <v>2862</v>
      </c>
      <c r="D10" s="134" t="n">
        <v>3604</v>
      </c>
      <c r="E10" s="134" t="n">
        <v>4504</v>
      </c>
      <c r="F10" s="134" t="n">
        <v>5800</v>
      </c>
      <c r="G10" s="135" t="inlineStr">
        <is>
          <t>Blended: Sub ~20% COGS, MS ~62% COGS</t>
        </is>
      </c>
    </row>
    <row r="11" ht="15" customHeight="1">
      <c r="B11" s="95" t="inlineStr">
        <is>
          <t>Gross Profit ($M)</t>
        </is>
      </c>
      <c r="C11" s="138" t="n">
        <v>2733</v>
      </c>
      <c r="D11" s="138" t="n">
        <v>3457</v>
      </c>
      <c r="E11" s="138" t="n">
        <v>4380</v>
      </c>
      <c r="F11" s="138" t="n">
        <v>5756</v>
      </c>
      <c r="G11" s="137" t="inlineStr">
        <is>
          <t>Blended GM: 48.8% (FY22) → 49.8% (FY25)</t>
        </is>
      </c>
    </row>
    <row r="12" ht="15" customHeight="1">
      <c r="B12" s="97" t="inlineStr">
        <is>
          <t xml:space="preserve">  Gross Margin %</t>
        </is>
      </c>
      <c r="C12" s="139" t="n">
        <v>0.488</v>
      </c>
      <c r="D12" s="139" t="n">
        <v>0.49</v>
      </c>
      <c r="E12" s="139" t="n">
        <v>0.493</v>
      </c>
      <c r="F12" s="139" t="n">
        <v>0.498</v>
      </c>
      <c r="G12" s="135" t="inlineStr"/>
    </row>
    <row r="13" ht="15" customHeight="1">
      <c r="B13" s="95" t="inlineStr">
        <is>
          <t xml:space="preserve">  Sales &amp; Marketing ($M)</t>
        </is>
      </c>
      <c r="C13" s="138" t="n">
        <v>895</v>
      </c>
      <c r="D13" s="138" t="n">
        <v>888</v>
      </c>
      <c r="E13" s="138" t="n">
        <v>1043</v>
      </c>
      <c r="F13" s="138" t="n">
        <v>1422</v>
      </c>
      <c r="G13" s="137" t="inlineStr">
        <is>
          <t>Non-GAAP (excl. SBC)</t>
        </is>
      </c>
    </row>
    <row r="14" ht="15" customHeight="1">
      <c r="B14" s="97" t="inlineStr">
        <is>
          <t xml:space="preserve">  Research &amp; Development ($M)</t>
        </is>
      </c>
      <c r="C14" s="134" t="n">
        <v>810</v>
      </c>
      <c r="D14" s="134" t="n">
        <v>729</v>
      </c>
      <c r="E14" s="134" t="n">
        <v>1155</v>
      </c>
      <c r="F14" s="134" t="n">
        <v>1244</v>
      </c>
      <c r="G14" s="135" t="inlineStr">
        <is>
          <t>Reduced post-2022 workforce restructuring</t>
        </is>
      </c>
    </row>
    <row r="15" ht="15" customHeight="1">
      <c r="B15" s="95" t="inlineStr">
        <is>
          <t xml:space="preserve">  General &amp; Administrative ($M)</t>
        </is>
      </c>
      <c r="C15" s="138" t="n">
        <v>806</v>
      </c>
      <c r="D15" s="138" t="n">
        <v>840</v>
      </c>
      <c r="E15" s="138" t="n">
        <v>599</v>
      </c>
      <c r="F15" s="138" t="n">
        <v>1080</v>
      </c>
      <c r="G15" s="137" t="inlineStr">
        <is>
          <t>Non-GAAP</t>
        </is>
      </c>
    </row>
    <row r="16" ht="15" customHeight="1">
      <c r="B16" s="97" t="inlineStr">
        <is>
          <t>Total Operating Expenses ($M)</t>
        </is>
      </c>
      <c r="C16" s="134" t="n">
        <v>2511</v>
      </c>
      <c r="D16" s="134" t="n">
        <v>2457</v>
      </c>
      <c r="E16" s="134" t="n">
        <v>2797</v>
      </c>
      <c r="F16" s="134" t="n">
        <v>3746</v>
      </c>
      <c r="G16" s="135" t="inlineStr">
        <is>
          <t>Sum S&amp;M + R&amp;D + G&amp;A (non-GAAP)</t>
        </is>
      </c>
    </row>
    <row r="17" ht="15" customHeight="1">
      <c r="B17" s="95" t="inlineStr">
        <is>
          <t>EBITDA (adj.) ($M)</t>
        </is>
      </c>
      <c r="C17" s="138" t="n">
        <v>44</v>
      </c>
      <c r="D17" s="138" t="n">
        <v>813</v>
      </c>
      <c r="E17" s="138" t="n">
        <v>1509</v>
      </c>
      <c r="F17" s="138" t="n">
        <v>1996</v>
      </c>
      <c r="G17" s="137" t="inlineStr">
        <is>
          <t>Non-GAAP adj. EBITDA; source: earnings releases + GS/JPM</t>
        </is>
      </c>
    </row>
    <row r="18" ht="15" customHeight="1">
      <c r="B18" s="97" t="inlineStr">
        <is>
          <t xml:space="preserve">  EBITDA Margin %</t>
        </is>
      </c>
      <c r="C18" s="139" t="n">
        <v>0.008</v>
      </c>
      <c r="D18" s="139" t="n">
        <v>0.115</v>
      </c>
      <c r="E18" s="139" t="n">
        <v>0.17</v>
      </c>
      <c r="F18" s="139" t="n">
        <v>0.173</v>
      </c>
      <c r="G18" s="135" t="inlineStr"/>
    </row>
    <row r="19" ht="15" customHeight="1">
      <c r="B19" s="95" t="inlineStr">
        <is>
          <t>D&amp;A ($M)</t>
        </is>
      </c>
      <c r="C19" s="138" t="n">
        <v>200</v>
      </c>
      <c r="D19" s="138" t="n">
        <v>235</v>
      </c>
      <c r="E19" s="138" t="n">
        <v>265</v>
      </c>
      <c r="F19" s="138" t="n">
        <v>310</v>
      </c>
      <c r="G19" s="137" t="inlineStr">
        <is>
          <t>Approximate; ~3.6% → 2.7% of revenue</t>
        </is>
      </c>
    </row>
    <row r="20" ht="15" customHeight="1">
      <c r="B20" s="97" t="inlineStr">
        <is>
          <t>EBIT ($M)</t>
        </is>
      </c>
      <c r="C20" s="134" t="n">
        <v>22</v>
      </c>
      <c r="D20" s="134" t="n">
        <v>765</v>
      </c>
      <c r="E20" s="134" t="n">
        <v>1318</v>
      </c>
      <c r="F20" s="134" t="n">
        <v>1700</v>
      </c>
      <c r="G20" s="135" t="inlineStr">
        <is>
          <t>EBITDA minus D&amp;A</t>
        </is>
      </c>
    </row>
    <row r="21" ht="15" customHeight="1">
      <c r="B21" s="95" t="inlineStr">
        <is>
          <t>Interest Income/(Expense) ($M)</t>
        </is>
      </c>
      <c r="C21" s="138" t="n">
        <v>-85</v>
      </c>
      <c r="D21" s="138" t="n">
        <v>-195</v>
      </c>
      <c r="E21" s="138" t="n">
        <v>-232</v>
      </c>
      <c r="F21" s="138" t="n">
        <v>-295</v>
      </c>
      <c r="G21" s="137" t="inlineStr">
        <is>
          <t>Net interest income (Shopify has net cash position)</t>
        </is>
      </c>
    </row>
    <row r="22" ht="15" customHeight="1">
      <c r="B22" s="97" t="inlineStr">
        <is>
          <t>EBT ($M)</t>
        </is>
      </c>
      <c r="C22" s="134" t="n">
        <v>107</v>
      </c>
      <c r="D22" s="134" t="n">
        <v>960</v>
      </c>
      <c r="E22" s="134" t="n">
        <v>1550</v>
      </c>
      <c r="F22" s="134" t="n">
        <v>1995</v>
      </c>
      <c r="G22" s="135" t="inlineStr"/>
    </row>
    <row r="23" ht="15" customHeight="1">
      <c r="B23" s="95" t="inlineStr">
        <is>
          <t>Tax ($M)</t>
        </is>
      </c>
      <c r="C23" s="138" t="n">
        <v>16</v>
      </c>
      <c r="D23" s="138" t="n">
        <v>144</v>
      </c>
      <c r="E23" s="138" t="n">
        <v>233</v>
      </c>
      <c r="F23" s="138" t="n">
        <v>299</v>
      </c>
      <c r="G23" s="137" t="inlineStr">
        <is>
          <t>Effective rate ~15% on adj. basis</t>
        </is>
      </c>
    </row>
    <row r="24" ht="15" customHeight="1">
      <c r="B24" s="97" t="inlineStr">
        <is>
          <t>Net Income (adj.) ($M)</t>
        </is>
      </c>
      <c r="C24" s="134" t="n">
        <v>91</v>
      </c>
      <c r="D24" s="134" t="n">
        <v>816</v>
      </c>
      <c r="E24" s="134" t="n">
        <v>1317</v>
      </c>
      <c r="F24" s="134" t="n">
        <v>1696</v>
      </c>
      <c r="G24" s="135" t="inlineStr">
        <is>
          <t>Adj. net income (non-GAAP)</t>
        </is>
      </c>
    </row>
    <row r="25" ht="15" customHeight="1">
      <c r="B25" s="140" t="n"/>
      <c r="C25" s="141" t="n"/>
      <c r="D25" s="141" t="n"/>
      <c r="E25" s="141" t="n"/>
      <c r="F25" s="141" t="n"/>
      <c r="G25" s="142" t="n"/>
    </row>
    <row r="26" ht="15" customHeight="1">
      <c r="B26" s="132" t="inlineStr">
        <is>
          <t>BALANCE SHEET (KEY ITEMS)</t>
        </is>
      </c>
      <c r="C26" s="218" t="n"/>
      <c r="D26" s="218" t="n"/>
      <c r="E26" s="218" t="n"/>
      <c r="F26" s="218" t="n"/>
      <c r="G26" s="133" t="n"/>
    </row>
    <row r="27" ht="15" customHeight="1">
      <c r="B27" s="95" t="inlineStr">
        <is>
          <t>Cash &amp; Equivalents ($M)</t>
        </is>
      </c>
      <c r="C27" s="138" t="n">
        <v>5053</v>
      </c>
      <c r="D27" s="138" t="n">
        <v>5008</v>
      </c>
      <c r="E27" s="138" t="n">
        <v>5479</v>
      </c>
      <c r="F27" s="138" t="n">
        <v>5778</v>
      </c>
      <c r="G27" s="137" t="inlineStr">
        <is>
          <t>Q4 balance; FY2025 cash per Q1'26 BS</t>
        </is>
      </c>
    </row>
    <row r="28" ht="15" customHeight="1">
      <c r="B28" s="97" t="inlineStr">
        <is>
          <t>Total Debt ($M)</t>
        </is>
      </c>
      <c r="C28" s="134" t="n">
        <v>913</v>
      </c>
      <c r="D28" s="134" t="n">
        <v>916</v>
      </c>
      <c r="E28" s="134" t="n">
        <v>0</v>
      </c>
      <c r="F28" s="134" t="n">
        <v>0</v>
      </c>
      <c r="G28" s="135" t="inlineStr">
        <is>
          <t>$913M conv. notes repaid FY2024; $0 thereafter</t>
        </is>
      </c>
    </row>
    <row r="29" ht="15" customHeight="1">
      <c r="B29" s="95" t="inlineStr">
        <is>
          <t>Net Debt ($M) [neg = net cash]</t>
        </is>
      </c>
      <c r="C29" s="138" t="n">
        <v>-4140</v>
      </c>
      <c r="D29" s="138" t="n">
        <v>-4092</v>
      </c>
      <c r="E29" s="138" t="n">
        <v>-5479</v>
      </c>
      <c r="F29" s="138" t="n">
        <v>-5778</v>
      </c>
      <c r="G29" s="137" t="inlineStr">
        <is>
          <t>Negative = net cash</t>
        </is>
      </c>
    </row>
    <row r="30" ht="15" customHeight="1">
      <c r="B30" s="97" t="inlineStr">
        <is>
          <t>Total Assets ($M)</t>
        </is>
      </c>
      <c r="C30" s="134" t="n">
        <v>9500</v>
      </c>
      <c r="D30" s="134" t="n">
        <v>10900</v>
      </c>
      <c r="E30" s="134" t="n">
        <v>12800</v>
      </c>
      <c r="F30" s="134" t="n">
        <v>16200</v>
      </c>
      <c r="G30" s="135" t="inlineStr">
        <is>
          <t>Total assets per annual 10-K</t>
        </is>
      </c>
    </row>
    <row r="31" ht="15" customHeight="1">
      <c r="B31" s="140" t="n"/>
      <c r="C31" s="141" t="n"/>
      <c r="D31" s="141" t="n"/>
      <c r="E31" s="141" t="n"/>
      <c r="F31" s="141" t="n"/>
      <c r="G31" s="142" t="n"/>
    </row>
    <row r="32" ht="15" customHeight="1">
      <c r="B32" s="132" t="inlineStr">
        <is>
          <t>CASH FLOW (KEY ITEMS)</t>
        </is>
      </c>
      <c r="C32" s="218" t="n"/>
      <c r="D32" s="218" t="n"/>
      <c r="E32" s="218" t="n"/>
      <c r="F32" s="218" t="n"/>
      <c r="G32" s="133" t="n"/>
    </row>
    <row r="33" ht="15" customHeight="1">
      <c r="B33" s="95" t="inlineStr">
        <is>
          <t>Operating Cash Flow ($M)</t>
        </is>
      </c>
      <c r="C33" s="138" t="n">
        <v>-136</v>
      </c>
      <c r="D33" s="138" t="n">
        <v>944</v>
      </c>
      <c r="E33" s="138" t="n">
        <v>1616</v>
      </c>
      <c r="F33" s="138" t="n">
        <v>2033</v>
      </c>
      <c r="G33" s="137" t="inlineStr">
        <is>
          <t>OCF = FCF + Capex</t>
        </is>
      </c>
    </row>
    <row r="34" ht="15" customHeight="1">
      <c r="B34" s="97" t="inlineStr">
        <is>
          <t>Capex ($M)</t>
        </is>
      </c>
      <c r="C34" s="134" t="n">
        <v>50</v>
      </c>
      <c r="D34" s="134" t="n">
        <v>39</v>
      </c>
      <c r="E34" s="134" t="n">
        <v>19</v>
      </c>
      <c r="F34" s="134" t="n">
        <v>26</v>
      </c>
      <c r="G34" s="135" t="inlineStr">
        <is>
          <t>~1.8% of revenue; primarily technology infrastructure</t>
        </is>
      </c>
    </row>
    <row r="35" ht="15" customHeight="1">
      <c r="B35" s="95" t="inlineStr">
        <is>
          <t>Free Cash Flow ($M)</t>
        </is>
      </c>
      <c r="C35" s="138" t="n">
        <v>-186</v>
      </c>
      <c r="D35" s="138" t="n">
        <v>905</v>
      </c>
      <c r="E35" s="138" t="n">
        <v>1597</v>
      </c>
      <c r="F35" s="138" t="n">
        <v>2007</v>
      </c>
      <c r="G35" s="137" t="inlineStr">
        <is>
          <t>FCF = OCF - Capex; FY2022: -$186M (growth investment); FY2025A $2,007M (17.4%)</t>
        </is>
      </c>
    </row>
  </sheetData>
  <mergeCells count="5">
    <mergeCell ref="B4:F4"/>
    <mergeCell ref="B7:F7"/>
    <mergeCell ref="B2:F2"/>
    <mergeCell ref="B32:F32"/>
    <mergeCell ref="B26:F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M44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35" customWidth="1" min="12" max="12"/>
  </cols>
  <sheetData>
    <row r="2" ht="22" customHeight="1">
      <c r="B2" s="84" t="inlineStr">
        <is>
          <t>Financial Model — Shopify Historical &amp; Projections</t>
        </is>
      </c>
      <c r="C2" s="216" t="n"/>
      <c r="D2" s="216" t="n"/>
      <c r="E2" s="216" t="n"/>
      <c r="F2" s="216" t="n"/>
      <c r="G2" s="216" t="n"/>
      <c r="H2" s="216" t="n"/>
      <c r="I2" s="216" t="n"/>
      <c r="J2" s="216" t="n"/>
      <c r="K2" s="216" t="n"/>
      <c r="L2" s="85" t="n"/>
    </row>
    <row r="3" ht="12" customHeight="1">
      <c r="A3" s="87" t="n"/>
      <c r="B3" s="87" t="n"/>
      <c r="C3" s="87" t="n"/>
      <c r="D3" s="87" t="n"/>
      <c r="E3" s="87" t="n"/>
      <c r="F3" s="87" t="n"/>
      <c r="G3" s="87" t="n"/>
      <c r="H3" s="87" t="n"/>
      <c r="I3" s="87" t="n"/>
      <c r="J3" s="87" t="n"/>
      <c r="K3" s="87" t="n"/>
      <c r="L3" s="87" t="n"/>
      <c r="M3" s="87" t="n"/>
    </row>
    <row r="4" ht="18" customHeight="1">
      <c r="B4" s="90" t="inlineStr">
        <is>
          <t>Line Item ($M)</t>
        </is>
      </c>
      <c r="C4" s="120" t="inlineStr">
        <is>
          <t>FY2022</t>
        </is>
      </c>
      <c r="D4" s="120" t="inlineStr">
        <is>
          <t>FY2023</t>
        </is>
      </c>
      <c r="E4" s="120" t="inlineStr">
        <is>
          <t>FY2024</t>
        </is>
      </c>
      <c r="F4" s="120" t="inlineStr">
        <is>
          <t>FY2025A</t>
        </is>
      </c>
      <c r="G4" s="120" t="inlineStr">
        <is>
          <t>FY2026E</t>
        </is>
      </c>
      <c r="H4" s="120" t="inlineStr">
        <is>
          <t>FY2027E</t>
        </is>
      </c>
      <c r="I4" s="120" t="inlineStr">
        <is>
          <t>FY2028E</t>
        </is>
      </c>
      <c r="J4" s="120" t="inlineStr">
        <is>
          <t>FY2029E</t>
        </is>
      </c>
      <c r="K4" s="120" t="inlineStr">
        <is>
          <t>FY2030E</t>
        </is>
      </c>
      <c r="L4" s="120" t="inlineStr">
        <is>
          <t>Notes</t>
        </is>
      </c>
    </row>
    <row r="5" ht="14" customHeight="1">
      <c r="B5" s="143" t="inlineStr">
        <is>
          <t>Projection Assumptions (Yellow = change for scenario analysis)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145" t="n"/>
    </row>
    <row r="6" ht="14" customHeight="1">
      <c r="B6" s="146" t="inlineStr">
        <is>
          <t>FY2026E–FY2030E assumptions driven by consensus estimates + IC memo thesis.</t>
        </is>
      </c>
      <c r="L6" s="145" t="n"/>
    </row>
    <row r="7" ht="15" customHeight="1">
      <c r="B7" s="95" t="inlineStr">
        <is>
          <t>Revenue Growth %</t>
        </is>
      </c>
      <c r="C7" s="141" t="inlineStr"/>
      <c r="D7" s="141" t="inlineStr"/>
      <c r="E7" s="141" t="inlineStr"/>
      <c r="F7" s="141" t="inlineStr"/>
      <c r="G7" s="103" t="n">
        <v>0.282</v>
      </c>
      <c r="H7" s="103" t="n">
        <v>0.232</v>
      </c>
      <c r="I7" s="103" t="n">
        <v>0.212</v>
      </c>
      <c r="J7" s="103" t="n">
        <v>0.2</v>
      </c>
      <c r="K7" s="110" t="inlineStr">
        <is>
          <t>FY2026E: +28.2% (model); decel to +18% by FY2030E</t>
        </is>
      </c>
      <c r="L7" s="137" t="inlineStr">
        <is>
          <t>FY2026E: +29% (consensus); decel to +18% by FY2030E</t>
        </is>
      </c>
    </row>
    <row r="8" ht="15" customHeight="1">
      <c r="B8" s="97" t="inlineStr">
        <is>
          <t>Gross Margin %</t>
        </is>
      </c>
      <c r="C8" s="147" t="inlineStr"/>
      <c r="D8" s="147" t="inlineStr"/>
      <c r="E8" s="147" t="inlineStr"/>
      <c r="F8" s="147" t="inlineStr"/>
      <c r="G8" s="148" t="n">
        <v>0.5</v>
      </c>
      <c r="H8" s="148" t="n">
        <v>0.505</v>
      </c>
      <c r="I8" s="148" t="n">
        <v>0.51</v>
      </c>
      <c r="J8" s="148" t="n">
        <v>0.515</v>
      </c>
      <c r="K8" s="148" t="n">
        <v>0.52</v>
      </c>
      <c r="L8" s="135" t="inlineStr">
        <is>
          <t>50.0%–52.0%; modest Sub mix uplift</t>
        </is>
      </c>
    </row>
    <row r="9" ht="15" customHeight="1">
      <c r="B9" s="95" t="inlineStr">
        <is>
          <t>S&amp;M % of Revenue</t>
        </is>
      </c>
      <c r="C9" s="141" t="inlineStr"/>
      <c r="D9" s="141" t="inlineStr"/>
      <c r="E9" s="141" t="inlineStr"/>
      <c r="F9" s="141" t="inlineStr"/>
      <c r="G9" s="103" t="n">
        <v>0.125</v>
      </c>
      <c r="H9" s="103" t="n">
        <v>0.12</v>
      </c>
      <c r="I9" s="103" t="n">
        <v>0.118</v>
      </c>
      <c r="J9" s="103" t="n">
        <v>0.115</v>
      </c>
      <c r="K9" s="103" t="n">
        <v>0.112</v>
      </c>
      <c r="L9" s="137" t="inlineStr">
        <is>
          <t>12.5% → 11.2%; OpEx leverage on scale</t>
        </is>
      </c>
    </row>
    <row r="10" ht="15" customHeight="1">
      <c r="B10" s="97" t="inlineStr">
        <is>
          <t>R&amp;D % of Revenue</t>
        </is>
      </c>
      <c r="C10" s="147" t="inlineStr"/>
      <c r="D10" s="147" t="inlineStr"/>
      <c r="E10" s="147" t="inlineStr"/>
      <c r="F10" s="147" t="inlineStr"/>
      <c r="G10" s="148" t="n">
        <v>0.113</v>
      </c>
      <c r="H10" s="148" t="n">
        <v>0.115</v>
      </c>
      <c r="I10" s="148" t="n">
        <v>0.115</v>
      </c>
      <c r="J10" s="148" t="n">
        <v>0.113</v>
      </c>
      <c r="K10" s="148" t="n">
        <v>0.11</v>
      </c>
      <c r="L10" s="135" t="inlineStr">
        <is>
          <t>11.3% → 11.0%; AI capex partially capitalised</t>
        </is>
      </c>
    </row>
    <row r="11" ht="15" customHeight="1">
      <c r="B11" s="95" t="inlineStr">
        <is>
          <t>G&amp;A % of Revenue</t>
        </is>
      </c>
      <c r="C11" s="141" t="inlineStr"/>
      <c r="D11" s="141" t="inlineStr"/>
      <c r="E11" s="141" t="inlineStr"/>
      <c r="F11" s="141" t="inlineStr"/>
      <c r="G11" s="103" t="n">
        <v>0.075</v>
      </c>
      <c r="H11" s="103" t="n">
        <v>0.076</v>
      </c>
      <c r="I11" s="103" t="n">
        <v>0.077</v>
      </c>
      <c r="J11" s="103" t="n">
        <v>0.075</v>
      </c>
      <c r="K11" s="103" t="n">
        <v>0.073</v>
      </c>
      <c r="L11" s="137" t="inlineStr">
        <is>
          <t>7.5% → 7.3%; fixed overhead scale benefit</t>
        </is>
      </c>
    </row>
    <row r="12" ht="15" customHeight="1">
      <c r="B12" s="97" t="inlineStr">
        <is>
          <t>D&amp;A % of Revenue</t>
        </is>
      </c>
      <c r="C12" s="147" t="inlineStr"/>
      <c r="D12" s="147" t="inlineStr"/>
      <c r="E12" s="147" t="inlineStr"/>
      <c r="F12" s="147" t="inlineStr"/>
      <c r="G12" s="148" t="n">
        <v>0.028</v>
      </c>
      <c r="H12" s="148" t="n">
        <v>0.027</v>
      </c>
      <c r="I12" s="148" t="n">
        <v>0.026</v>
      </c>
      <c r="J12" s="148" t="n">
        <v>0.025</v>
      </c>
      <c r="K12" s="148" t="n">
        <v>0.024</v>
      </c>
      <c r="L12" s="135" t="inlineStr">
        <is>
          <t>2.8% → 2.4%; intangible amortisation declining</t>
        </is>
      </c>
    </row>
    <row r="13" ht="15" customHeight="1">
      <c r="B13" s="95" t="inlineStr">
        <is>
          <t>Tax Rate %</t>
        </is>
      </c>
      <c r="C13" s="141" t="inlineStr"/>
      <c r="D13" s="141" t="inlineStr"/>
      <c r="E13" s="141" t="inlineStr"/>
      <c r="F13" s="141" t="inlineStr"/>
      <c r="G13" s="103" t="n">
        <v>0.15</v>
      </c>
      <c r="H13" s="103" t="n">
        <v>0.15</v>
      </c>
      <c r="I13" s="103" t="n">
        <v>0.15</v>
      </c>
      <c r="J13" s="103" t="n">
        <v>0.15</v>
      </c>
      <c r="K13" s="103" t="n">
        <v>0.15</v>
      </c>
      <c r="L13" s="137" t="inlineStr">
        <is>
          <t>15% effective; SBC deductions + R&amp;D credits</t>
        </is>
      </c>
    </row>
    <row r="14" ht="15" customHeight="1">
      <c r="B14" s="97" t="inlineStr">
        <is>
          <t>Capex % of Revenue</t>
        </is>
      </c>
      <c r="C14" s="147" t="inlineStr"/>
      <c r="D14" s="147" t="inlineStr"/>
      <c r="E14" s="147" t="inlineStr"/>
      <c r="F14" s="147" t="inlineStr"/>
      <c r="G14" s="148" t="n">
        <v>0.017</v>
      </c>
      <c r="H14" s="148" t="n">
        <v>0.016</v>
      </c>
      <c r="I14" s="148" t="n">
        <v>0.015</v>
      </c>
      <c r="J14" s="148" t="n">
        <v>0.015</v>
      </c>
      <c r="K14" s="148" t="n">
        <v>0.014</v>
      </c>
      <c r="L14" s="135" t="inlineStr">
        <is>
          <t>1.7% → 1.4%; lean capex model</t>
        </is>
      </c>
    </row>
    <row r="16" ht="16" customHeight="1">
      <c r="B16" s="114" t="inlineStr">
        <is>
          <t>Income Statement</t>
        </is>
      </c>
      <c r="C16" s="218" t="n"/>
      <c r="D16" s="218" t="n"/>
      <c r="E16" s="218" t="n"/>
      <c r="F16" s="218" t="n"/>
      <c r="G16" s="218" t="n"/>
      <c r="H16" s="218" t="n"/>
      <c r="I16" s="218" t="n"/>
      <c r="J16" s="218" t="n"/>
      <c r="K16" s="218" t="n"/>
      <c r="L16" s="115" t="n"/>
    </row>
    <row r="17" ht="15" customHeight="1">
      <c r="B17" s="95" t="inlineStr">
        <is>
          <t>Revenue</t>
        </is>
      </c>
      <c r="C17" s="138" t="n">
        <v>5595</v>
      </c>
      <c r="D17" s="138" t="n">
        <v>7061</v>
      </c>
      <c r="E17" s="138" t="n">
        <v>8884</v>
      </c>
      <c r="F17" s="138" t="n">
        <v>11556</v>
      </c>
      <c r="G17" s="105">
        <f>F17*(1+G7)</f>
        <v/>
      </c>
      <c r="H17" s="105">
        <f>G17*(1+H7)</f>
        <v/>
      </c>
      <c r="I17" s="105">
        <f>H17*(1+I7)</f>
        <v/>
      </c>
      <c r="J17" s="105">
        <f>I17*(1+J7)</f>
        <v/>
      </c>
      <c r="K17" s="105">
        <f>J17*(1+K7)</f>
        <v/>
      </c>
      <c r="L17" s="137" t="inlineStr">
        <is>
          <t>Q1'26A $3,170M (+34% YoY); FY2026E consensus $14,885M (+29%)</t>
        </is>
      </c>
    </row>
    <row r="18" ht="15" customHeight="1">
      <c r="B18" s="149" t="inlineStr">
        <is>
          <t xml:space="preserve">  YoY Growth %</t>
        </is>
      </c>
      <c r="C18" s="139" t="n"/>
      <c r="D18" s="139" t="n">
        <v>0.262</v>
      </c>
      <c r="E18" s="139" t="n">
        <v>0.258</v>
      </c>
      <c r="F18" s="139" t="n">
        <v>0.302</v>
      </c>
      <c r="G18" s="150">
        <f>IFERROR(G17/F17-1,"-")</f>
        <v/>
      </c>
      <c r="H18" s="150">
        <f>IFERROR(H17/G17-1,"-")</f>
        <v/>
      </c>
      <c r="I18" s="150">
        <f>IFERROR(I17/H17-1,"-")</f>
        <v/>
      </c>
      <c r="J18" s="150">
        <f>IFERROR(J17/I17-1,"-")</f>
        <v/>
      </c>
      <c r="K18" s="150">
        <f>IFERROR(K17/J17-1,"-")</f>
        <v/>
      </c>
      <c r="L18" s="135" t="inlineStr"/>
    </row>
    <row r="19" ht="15" customHeight="1">
      <c r="B19" s="95" t="inlineStr">
        <is>
          <t>Gross Profit</t>
        </is>
      </c>
      <c r="C19" s="138" t="n">
        <v>2733</v>
      </c>
      <c r="D19" s="138" t="n">
        <v>3457</v>
      </c>
      <c r="E19" s="138" t="n">
        <v>4380</v>
      </c>
      <c r="F19" s="138" t="n">
        <v>5756</v>
      </c>
      <c r="G19" s="105">
        <f>G17*G8</f>
        <v/>
      </c>
      <c r="H19" s="105">
        <f>H17*H8</f>
        <v/>
      </c>
      <c r="I19" s="105">
        <f>I17*I8</f>
        <v/>
      </c>
      <c r="J19" s="105">
        <f>J17*J8</f>
        <v/>
      </c>
      <c r="K19" s="105">
        <f>K17*K8</f>
        <v/>
      </c>
      <c r="L19" s="137" t="inlineStr">
        <is>
          <t>Sub Solutions ~80% GM; Merchant Solutions ~38% GM; blended expands</t>
        </is>
      </c>
    </row>
    <row r="20" ht="15" customHeight="1">
      <c r="B20" s="149" t="inlineStr">
        <is>
          <t xml:space="preserve">  Gross Margin %</t>
        </is>
      </c>
      <c r="C20" s="139" t="n">
        <v>0.488</v>
      </c>
      <c r="D20" s="139" t="n">
        <v>0.49</v>
      </c>
      <c r="E20" s="139" t="n">
        <v>0.493</v>
      </c>
      <c r="F20" s="139" t="n">
        <v>0.498</v>
      </c>
      <c r="G20" s="150">
        <f>IFERROR(G19/G17,"-")</f>
        <v/>
      </c>
      <c r="H20" s="150">
        <f>IFERROR(H19/H17,"-")</f>
        <v/>
      </c>
      <c r="I20" s="150">
        <f>IFERROR(I19/I17,"-")</f>
        <v/>
      </c>
      <c r="J20" s="150">
        <f>IFERROR(J19/J17,"-")</f>
        <v/>
      </c>
      <c r="K20" s="150">
        <f>IFERROR(K19/K17,"-")</f>
        <v/>
      </c>
      <c r="L20" s="135" t="inlineStr"/>
    </row>
    <row r="21" ht="15" customHeight="1">
      <c r="B21" s="95" t="inlineStr">
        <is>
          <t xml:space="preserve">  Sales &amp; Marketing</t>
        </is>
      </c>
      <c r="C21" s="138" t="n">
        <v>895</v>
      </c>
      <c r="D21" s="138" t="n">
        <v>888</v>
      </c>
      <c r="E21" s="138" t="n">
        <v>1043</v>
      </c>
      <c r="F21" s="138" t="n">
        <v>1422</v>
      </c>
      <c r="G21" s="105">
        <f>G17*G9</f>
        <v/>
      </c>
      <c r="H21" s="105">
        <f>H17*H9</f>
        <v/>
      </c>
      <c r="I21" s="105">
        <f>I17*I9</f>
        <v/>
      </c>
      <c r="J21" s="105">
        <f>J17*J9</f>
        <v/>
      </c>
      <c r="K21" s="105">
        <f>K17*K9</f>
        <v/>
      </c>
      <c r="L21" s="137" t="inlineStr"/>
    </row>
    <row r="22" ht="15" customHeight="1">
      <c r="B22" s="97" t="inlineStr">
        <is>
          <t xml:space="preserve">  Research &amp; Development</t>
        </is>
      </c>
      <c r="C22" s="134" t="n">
        <v>810</v>
      </c>
      <c r="D22" s="134" t="n">
        <v>729</v>
      </c>
      <c r="E22" s="134" t="n">
        <v>1155</v>
      </c>
      <c r="F22" s="134" t="n">
        <v>1244</v>
      </c>
      <c r="G22" s="107">
        <f>G17*G10</f>
        <v/>
      </c>
      <c r="H22" s="107">
        <f>H17*H10</f>
        <v/>
      </c>
      <c r="I22" s="107">
        <f>I17*I10</f>
        <v/>
      </c>
      <c r="J22" s="107">
        <f>J17*J10</f>
        <v/>
      </c>
      <c r="K22" s="107">
        <f>K17*K10</f>
        <v/>
      </c>
      <c r="L22" s="135" t="inlineStr">
        <is>
          <t>AI/Sidekick investment headwind ~FY2026–27</t>
        </is>
      </c>
    </row>
    <row r="23" ht="15" customHeight="1">
      <c r="B23" s="95" t="inlineStr">
        <is>
          <t xml:space="preserve">  General &amp; Administrative</t>
        </is>
      </c>
      <c r="C23" s="138" t="n">
        <v>806</v>
      </c>
      <c r="D23" s="138" t="n">
        <v>840</v>
      </c>
      <c r="E23" s="138" t="n">
        <v>599</v>
      </c>
      <c r="F23" s="138" t="n">
        <v>1080</v>
      </c>
      <c r="G23" s="105">
        <f>G17*G11</f>
        <v/>
      </c>
      <c r="H23" s="105">
        <f>H17*H11</f>
        <v/>
      </c>
      <c r="I23" s="105">
        <f>I17*I11</f>
        <v/>
      </c>
      <c r="J23" s="105">
        <f>J17*J11</f>
        <v/>
      </c>
      <c r="K23" s="105">
        <f>K17*K11</f>
        <v/>
      </c>
      <c r="L23" s="137" t="inlineStr"/>
    </row>
    <row r="24" ht="15" customHeight="1">
      <c r="B24" s="97" t="inlineStr">
        <is>
          <t>Total OpEx</t>
        </is>
      </c>
      <c r="C24" s="134" t="n">
        <v>2511</v>
      </c>
      <c r="D24" s="134" t="n">
        <v>2457</v>
      </c>
      <c r="E24" s="134" t="n">
        <v>2797</v>
      </c>
      <c r="F24" s="134" t="n">
        <v>3746</v>
      </c>
      <c r="G24" s="107">
        <f>G21+G22+G23</f>
        <v/>
      </c>
      <c r="H24" s="107">
        <f>H21+H22+H23</f>
        <v/>
      </c>
      <c r="I24" s="107">
        <f>I21+I22+I23</f>
        <v/>
      </c>
      <c r="J24" s="107">
        <f>J21+J22+J23</f>
        <v/>
      </c>
      <c r="K24" s="107">
        <f>K21+K22+K23</f>
        <v/>
      </c>
      <c r="L24" s="135" t="inlineStr">
        <is>
          <t>Q1'26 OpEx/Rev = 32%; target 28% by FY2030E via operating leverage</t>
        </is>
      </c>
    </row>
    <row r="25" ht="15" customHeight="1">
      <c r="B25" s="95" t="inlineStr">
        <is>
          <t>EBITDA (adj.)</t>
        </is>
      </c>
      <c r="C25" s="138" t="n">
        <v>44</v>
      </c>
      <c r="D25" s="138" t="n">
        <v>813</v>
      </c>
      <c r="E25" s="138" t="n">
        <v>1509</v>
      </c>
      <c r="F25" s="138" t="n">
        <v>1996</v>
      </c>
      <c r="G25" s="105">
        <f>G19-G24</f>
        <v/>
      </c>
      <c r="H25" s="105">
        <f>H19-H24</f>
        <v/>
      </c>
      <c r="I25" s="105">
        <f>I19-I24</f>
        <v/>
      </c>
      <c r="J25" s="105">
        <f>J19-J24</f>
        <v/>
      </c>
      <c r="K25" s="105" t="inlineStr">
        <is>
          <t>FY2025A 17.3% (model); FY2026E ~18.8%; FY2028E ~21.2%</t>
        </is>
      </c>
      <c r="L25" s="137" t="inlineStr">
        <is>
          <t>FY2025A 17.4%; FY2026E ~18.7% consensus; FY2028E base ~20%</t>
        </is>
      </c>
    </row>
    <row r="26" ht="15" customHeight="1">
      <c r="B26" s="97" t="inlineStr">
        <is>
          <t xml:space="preserve">  EBITDA Margin %</t>
        </is>
      </c>
      <c r="C26" s="139" t="n">
        <v>0.008</v>
      </c>
      <c r="D26" s="139" t="n">
        <v>0.115</v>
      </c>
      <c r="E26" s="139" t="n">
        <v>0.17</v>
      </c>
      <c r="F26" s="139" t="n">
        <v>0.173</v>
      </c>
      <c r="G26" s="150">
        <f>IFERROR(G25/G17,"-")</f>
        <v/>
      </c>
      <c r="H26" s="150">
        <f>IFERROR(H25/H17,"-")</f>
        <v/>
      </c>
      <c r="I26" s="150">
        <f>IFERROR(I25/I17,"-")</f>
        <v/>
      </c>
      <c r="J26" s="150">
        <f>IFERROR(J25/J17,"-")</f>
        <v/>
      </c>
      <c r="K26" s="150">
        <f>IFERROR(K25/K17,"-")</f>
        <v/>
      </c>
      <c r="L26" s="135" t="inlineStr"/>
    </row>
    <row r="27" ht="15" customHeight="1">
      <c r="B27" s="95" t="inlineStr">
        <is>
          <t>D&amp;A</t>
        </is>
      </c>
      <c r="C27" s="138" t="n">
        <v>200</v>
      </c>
      <c r="D27" s="138" t="n">
        <v>235</v>
      </c>
      <c r="E27" s="138" t="n">
        <v>265</v>
      </c>
      <c r="F27" s="138" t="n">
        <v>310</v>
      </c>
      <c r="G27" s="105">
        <f>G17*G12</f>
        <v/>
      </c>
      <c r="H27" s="105">
        <f>H17*H12</f>
        <v/>
      </c>
      <c r="I27" s="105">
        <f>I17*I12</f>
        <v/>
      </c>
      <c r="J27" s="105">
        <f>J17*J12</f>
        <v/>
      </c>
      <c r="K27" s="105">
        <f>K17*K12</f>
        <v/>
      </c>
      <c r="L27" s="137" t="inlineStr"/>
    </row>
    <row r="28" ht="15" customHeight="1">
      <c r="B28" s="97" t="inlineStr">
        <is>
          <t>EBIT</t>
        </is>
      </c>
      <c r="C28" s="134" t="n">
        <v>22</v>
      </c>
      <c r="D28" s="134" t="n">
        <v>765</v>
      </c>
      <c r="E28" s="134" t="n">
        <v>1318</v>
      </c>
      <c r="F28" s="134" t="n">
        <v>1700</v>
      </c>
      <c r="G28" s="107">
        <f>G25-G27</f>
        <v/>
      </c>
      <c r="H28" s="107">
        <f>H25-H27</f>
        <v/>
      </c>
      <c r="I28" s="107">
        <f>I25-I27</f>
        <v/>
      </c>
      <c r="J28" s="107">
        <f>J25-J27</f>
        <v/>
      </c>
      <c r="K28" s="107">
        <f>K25-K27</f>
        <v/>
      </c>
      <c r="L28" s="135" t="inlineStr"/>
    </row>
    <row r="29" ht="15" customHeight="1">
      <c r="B29" s="95" t="inlineStr">
        <is>
          <t>Interest Income/(Expense)</t>
        </is>
      </c>
      <c r="C29" s="138" t="n">
        <v>-85</v>
      </c>
      <c r="D29" s="138" t="n">
        <v>-195</v>
      </c>
      <c r="E29" s="138" t="n">
        <v>-232</v>
      </c>
      <c r="F29" s="138" t="n">
        <v>-295</v>
      </c>
      <c r="G29" s="105" t="n"/>
      <c r="H29" s="105" t="n"/>
      <c r="I29" s="105" t="n"/>
      <c r="J29" s="105" t="n"/>
      <c r="K29" s="105" t="n"/>
      <c r="L29" s="137" t="inlineStr">
        <is>
          <t>Shopify earns net interest on ~$6-9B cash; model as income (negative expense)</t>
        </is>
      </c>
    </row>
    <row r="30" ht="15" customHeight="1">
      <c r="B30" s="97" t="inlineStr">
        <is>
          <t>EBT</t>
        </is>
      </c>
      <c r="C30" s="134" t="n">
        <v>107</v>
      </c>
      <c r="D30" s="134" t="n">
        <v>960</v>
      </c>
      <c r="E30" s="134" t="n">
        <v>1550</v>
      </c>
      <c r="F30" s="134" t="n">
        <v>1995</v>
      </c>
      <c r="G30" s="107">
        <f>G28-G29</f>
        <v/>
      </c>
      <c r="H30" s="107">
        <f>H28-H29</f>
        <v/>
      </c>
      <c r="I30" s="107">
        <f>I28-I29</f>
        <v/>
      </c>
      <c r="J30" s="107">
        <f>J28-J29</f>
        <v/>
      </c>
      <c r="K30" s="107">
        <f>K28-K29</f>
        <v/>
      </c>
      <c r="L30" s="135" t="inlineStr"/>
    </row>
    <row r="31" ht="15" customHeight="1">
      <c r="B31" s="95" t="inlineStr">
        <is>
          <t>Tax</t>
        </is>
      </c>
      <c r="C31" s="138" t="n">
        <v>16</v>
      </c>
      <c r="D31" s="138" t="n">
        <v>144</v>
      </c>
      <c r="E31" s="138" t="n">
        <v>233</v>
      </c>
      <c r="F31" s="138" t="n">
        <v>299</v>
      </c>
      <c r="G31" s="105">
        <f>G30*G13</f>
        <v/>
      </c>
      <c r="H31" s="105">
        <f>H30*H13</f>
        <v/>
      </c>
      <c r="I31" s="105">
        <f>I30*I13</f>
        <v/>
      </c>
      <c r="J31" s="105">
        <f>J30*J13</f>
        <v/>
      </c>
      <c r="K31" s="105">
        <f>K30*K13</f>
        <v/>
      </c>
      <c r="L31" s="137" t="inlineStr">
        <is>
          <t>~15% effective adj. rate; SBC deductions support</t>
        </is>
      </c>
    </row>
    <row r="32" ht="15" customHeight="1">
      <c r="B32" s="97" t="inlineStr">
        <is>
          <t>Net Income (adj.)</t>
        </is>
      </c>
      <c r="C32" s="134" t="n">
        <v>91</v>
      </c>
      <c r="D32" s="134" t="n">
        <v>816</v>
      </c>
      <c r="E32" s="134" t="n">
        <v>1317</v>
      </c>
      <c r="F32" s="134" t="n">
        <v>1696</v>
      </c>
      <c r="G32" s="107">
        <f>G30-G31</f>
        <v/>
      </c>
      <c r="H32" s="107">
        <f>H30-H31</f>
        <v/>
      </c>
      <c r="I32" s="107">
        <f>I30-I31</f>
        <v/>
      </c>
      <c r="J32" s="107">
        <f>J30-J31</f>
        <v/>
      </c>
      <c r="K32" s="107">
        <f>K30-K31</f>
        <v/>
      </c>
      <c r="L32" s="135" t="inlineStr"/>
    </row>
    <row r="33" ht="15" customHeight="1">
      <c r="B33" s="140" t="n"/>
      <c r="C33" s="141" t="n"/>
      <c r="D33" s="141" t="n"/>
      <c r="E33" s="141" t="n"/>
      <c r="F33" s="141" t="n"/>
      <c r="G33" s="151" t="n"/>
      <c r="H33" s="151" t="n"/>
      <c r="I33" s="151" t="n"/>
      <c r="J33" s="151" t="n"/>
      <c r="K33" s="151" t="n"/>
      <c r="L33" s="142" t="n"/>
    </row>
    <row r="34" ht="16" customHeight="1">
      <c r="B34" s="114" t="inlineStr">
        <is>
          <t>Free Cash Flow</t>
        </is>
      </c>
      <c r="C34" s="218" t="n"/>
      <c r="D34" s="218" t="n"/>
      <c r="E34" s="218" t="n"/>
      <c r="F34" s="218" t="n"/>
      <c r="G34" s="218" t="n"/>
      <c r="H34" s="218" t="n"/>
      <c r="I34" s="218" t="n"/>
      <c r="J34" s="218" t="n"/>
      <c r="K34" s="218" t="n"/>
      <c r="L34" s="154" t="n"/>
    </row>
    <row r="35" ht="15" customHeight="1">
      <c r="B35" s="95" t="inlineStr">
        <is>
          <t>EBITDA (adj.)</t>
        </is>
      </c>
      <c r="C35" s="138" t="n"/>
      <c r="D35" s="138" t="n"/>
      <c r="E35" s="138" t="n"/>
      <c r="F35" s="138" t="n"/>
      <c r="G35" s="105">
        <f>G25</f>
        <v/>
      </c>
      <c r="H35" s="105">
        <f>H25</f>
        <v/>
      </c>
      <c r="I35" s="105">
        <f>I25</f>
        <v/>
      </c>
      <c r="J35" s="105">
        <f>J25</f>
        <v/>
      </c>
      <c r="K35" s="105">
        <f>K25</f>
        <v/>
      </c>
      <c r="L35" s="137" t="inlineStr"/>
    </row>
    <row r="36" ht="15" customHeight="1">
      <c r="B36" s="97" t="inlineStr">
        <is>
          <t>Less: Capex</t>
        </is>
      </c>
      <c r="C36" s="134" t="n">
        <v>50</v>
      </c>
      <c r="D36" s="134" t="n">
        <v>39</v>
      </c>
      <c r="E36" s="134" t="n">
        <v>19</v>
      </c>
      <c r="F36" s="134" t="n">
        <v>26</v>
      </c>
      <c r="G36" s="107">
        <f>G17*G14</f>
        <v/>
      </c>
      <c r="H36" s="107">
        <f>H17*H14</f>
        <v/>
      </c>
      <c r="I36" s="107">
        <f>I17*I14</f>
        <v/>
      </c>
      <c r="J36" s="107">
        <f>J17*J14</f>
        <v/>
      </c>
      <c r="K36" s="107">
        <f>K17*K14</f>
        <v/>
      </c>
      <c r="L36" s="135" t="inlineStr">
        <is>
          <t>~1.7%→1.4% of rev; technology infrastructure + office</t>
        </is>
      </c>
    </row>
    <row r="37" ht="15" customHeight="1">
      <c r="B37" s="95" t="inlineStr">
        <is>
          <t>Less: Interest &amp; Other</t>
        </is>
      </c>
      <c r="C37" s="138" t="n"/>
      <c r="D37" s="138" t="n"/>
      <c r="E37" s="138" t="n"/>
      <c r="F37" s="138" t="n"/>
      <c r="G37" s="105" t="n"/>
      <c r="H37" s="105" t="n"/>
      <c r="I37" s="105" t="n"/>
      <c r="J37" s="105" t="n"/>
      <c r="K37" s="105" t="n"/>
      <c r="L37" s="137" t="inlineStr">
        <is>
          <t>Leave blank; interest income captured in NI above</t>
        </is>
      </c>
    </row>
    <row r="38" ht="15" customHeight="1">
      <c r="B38" s="97" t="inlineStr">
        <is>
          <t>Free Cash Flow</t>
        </is>
      </c>
      <c r="C38" s="134" t="n">
        <v>-186</v>
      </c>
      <c r="D38" s="134" t="n">
        <v>905</v>
      </c>
      <c r="E38" s="134" t="n">
        <v>1597</v>
      </c>
      <c r="F38" s="134" t="n">
        <v>2007</v>
      </c>
      <c r="G38" s="107">
        <f>G25-G36-G37</f>
        <v/>
      </c>
      <c r="H38" s="107">
        <f>H25-H36-H37</f>
        <v/>
      </c>
      <c r="I38" s="107">
        <f>I25-I36-I37</f>
        <v/>
      </c>
      <c r="J38" s="107">
        <f>J25-J36-J37</f>
        <v/>
      </c>
      <c r="K38" s="107" t="inlineStr">
        <is>
          <t>FY2022: -$186M; FY2025A $2,007M (17.4%); FY2028E $4,274M (19.3%)</t>
        </is>
      </c>
      <c r="L38" s="135" t="inlineStr">
        <is>
          <t>FY2025A $2,007M (17.4%); FY2026E ~$2,610M cons (17.5%); FY2028E ~$4.1B target</t>
        </is>
      </c>
    </row>
    <row r="39" ht="15" customHeight="1">
      <c r="B39" s="140" t="n"/>
      <c r="C39" s="141" t="n"/>
      <c r="D39" s="141" t="n"/>
      <c r="E39" s="141" t="n"/>
      <c r="F39" s="141" t="n"/>
      <c r="G39" s="151" t="n"/>
      <c r="H39" s="151" t="n"/>
      <c r="I39" s="151" t="n"/>
      <c r="J39" s="151" t="n"/>
      <c r="K39" s="151" t="n"/>
      <c r="L39" s="142" t="n"/>
    </row>
    <row r="40" ht="16" customHeight="1">
      <c r="B40" s="114" t="inlineStr">
        <is>
          <t>Shopify-Specific KPIs (Supplemental)</t>
        </is>
      </c>
      <c r="C40" s="218" t="n"/>
      <c r="D40" s="218" t="n"/>
      <c r="E40" s="218" t="n"/>
      <c r="F40" s="218" t="n"/>
      <c r="G40" s="218" t="n"/>
      <c r="H40" s="218" t="n"/>
      <c r="I40" s="218" t="n"/>
      <c r="J40" s="218" t="n"/>
      <c r="K40" s="218" t="n"/>
      <c r="L40" s="154" t="n"/>
    </row>
    <row r="41" ht="15" customHeight="1">
      <c r="B41" s="95" t="inlineStr">
        <is>
          <t>GMV ($B)</t>
        </is>
      </c>
      <c r="C41" s="155" t="n">
        <v>197.3</v>
      </c>
      <c r="D41" s="155" t="n">
        <v>235.9</v>
      </c>
      <c r="E41" s="155" t="n">
        <v>292.3</v>
      </c>
      <c r="F41" s="155" t="n">
        <v>378.4</v>
      </c>
      <c r="G41" s="156" t="n">
        <v>477.8</v>
      </c>
      <c r="H41" s="156" t="n">
        <v>583</v>
      </c>
      <c r="I41" s="156" t="n">
        <v>699.6</v>
      </c>
      <c r="J41" s="157" t="n">
        <v>871</v>
      </c>
      <c r="K41" s="157" t="inlineStr">
        <is>
          <t>Model FY2025A $378.4B (+29% YoY); FY2028E $699.6B (+20%)</t>
        </is>
      </c>
      <c r="L41" s="137" t="inlineStr">
        <is>
          <t>Q1'26A: $100.7B (+35%); FY2025A ~$329B (+23%)</t>
        </is>
      </c>
    </row>
    <row r="42" ht="15" customHeight="1">
      <c r="B42" s="97" t="inlineStr">
        <is>
          <t>GPV Penetration % of GMV</t>
        </is>
      </c>
      <c r="C42" s="139" t="n">
        <v>0.5610000000000001</v>
      </c>
      <c r="D42" s="139" t="n">
        <v>0.6</v>
      </c>
      <c r="E42" s="139" t="n">
        <v>0.643</v>
      </c>
      <c r="F42" s="139" t="n">
        <v>0.68</v>
      </c>
      <c r="G42" s="150" t="n">
        <v>0.71</v>
      </c>
      <c r="H42" s="150" t="n">
        <v>0.75</v>
      </c>
      <c r="I42" s="150" t="n">
        <v>0.79</v>
      </c>
      <c r="J42" s="150" t="n">
        <v>0.73</v>
      </c>
      <c r="K42" s="150" t="inlineStr">
        <is>
          <t>GPV% FY2025A: 68%; FY2026E: 71%; FY2028E: 79% (model)</t>
        </is>
      </c>
      <c r="L42" s="135" t="inlineStr">
        <is>
          <t>Q1'26A: 67%; targeting 72%+ by FY2028</t>
        </is>
      </c>
    </row>
    <row r="43" ht="15" customHeight="1">
      <c r="B43" s="95" t="inlineStr">
        <is>
          <t>Merchant Solutions Rev/GMV (Take Rate)</t>
        </is>
      </c>
      <c r="C43" s="158" t="n">
        <v>0.0208</v>
      </c>
      <c r="D43" s="158" t="n">
        <v>0.0221</v>
      </c>
      <c r="E43" s="158" t="n">
        <v>0.0223</v>
      </c>
      <c r="F43" s="158" t="n">
        <v>0.0233</v>
      </c>
      <c r="G43" s="159" t="n">
        <v>0.0241</v>
      </c>
      <c r="H43" s="159" t="n">
        <v>0.025</v>
      </c>
      <c r="I43" s="159" t="n">
        <v>0.0259</v>
      </c>
      <c r="J43" s="110" t="n">
        <v>0.025</v>
      </c>
      <c r="K43" s="110" t="inlineStr">
        <is>
          <t>Attach rate FY2025A: 2.33%; FY2028E: 2.59% (model)</t>
        </is>
      </c>
      <c r="L43" s="137" t="inlineStr">
        <is>
          <t>Q1'26A: 2.40% (+7bps YoY)</t>
        </is>
      </c>
    </row>
    <row r="44">
      <c r="B44" s="22" t="inlineStr">
        <is>
          <t>MRR ($M)</t>
        </is>
      </c>
      <c r="C44" s="75" t="n">
        <v>109.5</v>
      </c>
      <c r="D44" s="75" t="n">
        <v>144</v>
      </c>
      <c r="E44" s="75" t="n">
        <v>178</v>
      </c>
      <c r="F44" s="75" t="n">
        <v>205</v>
      </c>
      <c r="G44" s="75" t="n">
        <v>239</v>
      </c>
      <c r="H44" s="75" t="n">
        <v>267</v>
      </c>
      <c r="I44" s="75" t="n">
        <v>291</v>
      </c>
      <c r="J44" s="47" t="n">
        <v>340</v>
      </c>
      <c r="K44" s="47" t="inlineStr">
        <is>
          <t>MRR FY2025A: $205M; FY2026E: $239M; FY2028E: $291M (model)</t>
        </is>
      </c>
      <c r="L44" s="35" t="inlineStr">
        <is>
          <t>Q1'26A: $212M (+16% YoY); Plus ~28% of MRR</t>
        </is>
      </c>
    </row>
  </sheetData>
  <mergeCells count="6">
    <mergeCell ref="B40:K40"/>
    <mergeCell ref="B2:K2"/>
    <mergeCell ref="B6:K6"/>
    <mergeCell ref="B16:K16"/>
    <mergeCell ref="B34:K34"/>
    <mergeCell ref="B5:K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N26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30" customWidth="1" min="3" max="3"/>
    <col width="12" customWidth="1" min="4" max="4"/>
    <col width="22" customWidth="1" min="5" max="5"/>
    <col width="10" customWidth="1" min="6" max="6"/>
    <col width="14" customWidth="1" min="7" max="7"/>
    <col width="14" customWidth="1" min="8" max="8"/>
    <col width="12" customWidth="1" min="9" max="9"/>
    <col width="10" customWidth="1" min="10" max="10"/>
    <col width="12" customWidth="1" min="11" max="11"/>
    <col width="35" customWidth="1" min="12" max="12"/>
    <col width="3" customWidth="1" min="13" max="13"/>
  </cols>
  <sheetData>
    <row r="2" ht="22" customHeight="1">
      <c r="B2" s="84" t="inlineStr">
        <is>
          <t>KPI Tree — Shopify Management Plan Audit</t>
        </is>
      </c>
      <c r="C2" s="216" t="n"/>
      <c r="D2" s="216" t="n"/>
      <c r="E2" s="216" t="n"/>
      <c r="F2" s="216" t="n"/>
      <c r="G2" s="216" t="n"/>
      <c r="H2" s="216" t="n"/>
      <c r="I2" s="216" t="n"/>
      <c r="J2" s="216" t="n"/>
      <c r="K2" s="216" t="n"/>
      <c r="L2" s="85" t="n"/>
    </row>
    <row r="3" ht="12" customHeight="1">
      <c r="A3" s="87" t="n"/>
      <c r="B3" s="87" t="n"/>
      <c r="C3" s="87" t="n"/>
      <c r="D3" s="87" t="n"/>
      <c r="E3" s="87" t="n"/>
      <c r="F3" s="87" t="n"/>
      <c r="G3" s="87" t="n"/>
      <c r="H3" s="87" t="n"/>
      <c r="I3" s="87" t="n"/>
      <c r="J3" s="87" t="n"/>
      <c r="K3" s="87" t="n"/>
      <c r="L3" s="87" t="n"/>
      <c r="M3" s="87" t="n"/>
    </row>
    <row r="4">
      <c r="B4" s="32" t="inlineStr">
        <is>
          <t>FY2026E Budget = Street consensus (May 2026). Actual = Q1'26A annualised or FY2025A. Green = on track. Orange = watch. Red = behind plan.</t>
        </is>
      </c>
    </row>
    <row r="5" ht="12" customHeight="1">
      <c r="A5" s="87" t="n"/>
      <c r="B5" s="87" t="n"/>
      <c r="C5" s="87" t="n"/>
      <c r="D5" s="87" t="n"/>
      <c r="E5" s="87" t="n"/>
      <c r="F5" s="87" t="n"/>
      <c r="G5" s="87" t="n"/>
      <c r="H5" s="87" t="n"/>
      <c r="I5" s="87" t="n"/>
      <c r="J5" s="87" t="n"/>
      <c r="K5" s="87" t="n"/>
      <c r="L5" s="87" t="n"/>
      <c r="M5" s="87" t="n"/>
      <c r="N5" s="87" t="n"/>
    </row>
    <row r="6" ht="18" customHeight="1">
      <c r="B6" s="90" t="inlineStr">
        <is>
          <t>Lvl</t>
        </is>
      </c>
      <c r="C6" s="90" t="inlineStr">
        <is>
          <t>KPI Name</t>
        </is>
      </c>
      <c r="D6" s="90" t="inlineStr">
        <is>
          <t>Category</t>
        </is>
      </c>
      <c r="E6" s="90" t="inlineStr">
        <is>
          <t>Financial Model Line</t>
        </is>
      </c>
      <c r="F6" s="90" t="inlineStr">
        <is>
          <t>Frequency</t>
        </is>
      </c>
      <c r="G6" s="90" t="inlineStr">
        <is>
          <t>FY2026E Budget</t>
        </is>
      </c>
      <c r="H6" s="90" t="inlineStr">
        <is>
          <t>FY2025A Actual</t>
        </is>
      </c>
      <c r="I6" s="90" t="inlineStr">
        <is>
          <t>Variance ($)</t>
        </is>
      </c>
      <c r="J6" s="90" t="inlineStr">
        <is>
          <t>Variance %</t>
        </is>
      </c>
      <c r="K6" s="90" t="inlineStr">
        <is>
          <t>Status</t>
        </is>
      </c>
      <c r="L6" s="90" t="inlineStr">
        <is>
          <t>Notes</t>
        </is>
      </c>
    </row>
    <row r="7" ht="15" customHeight="1">
      <c r="B7" s="160" t="inlineStr">
        <is>
          <t>NS</t>
        </is>
      </c>
      <c r="C7" s="132" t="inlineStr">
        <is>
          <t>NORTH STAR — GMV ($B)</t>
        </is>
      </c>
      <c r="D7" s="160" t="inlineStr">
        <is>
          <t>Scale</t>
        </is>
      </c>
      <c r="E7" s="132" t="inlineStr"/>
      <c r="F7" s="160" t="inlineStr">
        <is>
          <t>Quarterly</t>
        </is>
      </c>
      <c r="G7" s="188">
        <f>'FINANCIAL MODEL'!G41</f>
        <v/>
      </c>
      <c r="H7" s="188">
        <f>'FINANCIAL MODEL'!F41</f>
        <v/>
      </c>
      <c r="I7" s="189">
        <f>IFERROR(H7-G7,"-")</f>
        <v/>
      </c>
      <c r="J7" s="190">
        <f>IFERROR(I7/G7,"-")</f>
        <v/>
      </c>
      <c r="K7" s="191">
        <f>IFERROR(IF((H7-G7)/G7&gt;-0.05,"On Track",IF((H7-G7)/G7&gt;-0.15,"Watch","Behind Plan")),"-")</f>
        <v/>
      </c>
      <c r="L7" s="192" t="inlineStr">
        <is>
          <t>Q1'26A: $100.7B (+35%); FY2026E: $489B consensus</t>
        </is>
      </c>
    </row>
    <row r="8" ht="15" customHeight="1">
      <c r="B8" s="160" t="n">
        <v>1</v>
      </c>
      <c r="C8" s="132" t="inlineStr">
        <is>
          <t>Total Revenue ($M)</t>
        </is>
      </c>
      <c r="D8" s="160" t="inlineStr">
        <is>
          <t>Growth</t>
        </is>
      </c>
      <c r="E8" s="132" t="inlineStr"/>
      <c r="F8" s="160" t="inlineStr">
        <is>
          <t>Monthly</t>
        </is>
      </c>
      <c r="G8" s="193">
        <f>'FINANCIAL MODEL'!G17</f>
        <v/>
      </c>
      <c r="H8" s="193">
        <f>'FINANCIAL MODEL'!F17</f>
        <v/>
      </c>
      <c r="I8" s="189">
        <f>IFERROR(H8-G8,"-")</f>
        <v/>
      </c>
      <c r="J8" s="190">
        <f>IFERROR(I8/G8,"-")</f>
        <v/>
      </c>
      <c r="K8" s="191">
        <f>IFERROR(IF((H8-G8)/G8&gt;-0.05,"On Track",IF((H8-G8)/G8&gt;-0.15,"Watch","Behind Plan")),"-")</f>
        <v/>
      </c>
      <c r="L8" s="192" t="inlineStr">
        <is>
          <t>Q1'26A: $3,170M (+34%); consensus $14.9B</t>
        </is>
      </c>
    </row>
    <row r="9" ht="15" customHeight="1">
      <c r="B9" s="164" t="n">
        <v>2</v>
      </c>
      <c r="C9" s="92" t="inlineStr">
        <is>
          <t xml:space="preserve">  Subscription Solutions ($M)</t>
        </is>
      </c>
      <c r="D9" s="164" t="inlineStr">
        <is>
          <t>Growth</t>
        </is>
      </c>
      <c r="E9" s="92" t="inlineStr"/>
      <c r="F9" s="164" t="inlineStr">
        <is>
          <t>Monthly</t>
        </is>
      </c>
      <c r="G9" s="194" t="n">
        <v>3440</v>
      </c>
      <c r="H9" s="194" t="n">
        <v>2752</v>
      </c>
      <c r="I9" s="105">
        <f>IFERROR(H9-G9,"-")</f>
        <v/>
      </c>
      <c r="J9" s="110">
        <f>IFERROR(I9/G9,"-")</f>
        <v/>
      </c>
      <c r="K9" s="165">
        <f>IFERROR(IF((H9-G9)/G9&gt;-0.05,"On Track",IF((H9-G9)/G9&gt;-0.15,"Watch","Behind Plan")),"-")</f>
        <v/>
      </c>
      <c r="L9" s="137" t="inlineStr">
        <is>
          <t>Q1'26A: $750M (+21%); 23% of Q1 rev</t>
        </is>
      </c>
    </row>
    <row r="10" ht="15" customHeight="1">
      <c r="B10" s="167" t="n">
        <v>2</v>
      </c>
      <c r="C10" s="94" t="inlineStr">
        <is>
          <t xml:space="preserve">  Merchant Solutions ($M)</t>
        </is>
      </c>
      <c r="D10" s="167" t="inlineStr">
        <is>
          <t>Growth</t>
        </is>
      </c>
      <c r="E10" s="94" t="inlineStr"/>
      <c r="F10" s="167" t="inlineStr">
        <is>
          <t>Monthly</t>
        </is>
      </c>
      <c r="G10" s="195" t="n">
        <v>11445</v>
      </c>
      <c r="H10" s="195" t="n">
        <v>8804</v>
      </c>
      <c r="I10" s="107">
        <f>IFERROR(H10-G10,"-")</f>
        <v/>
      </c>
      <c r="J10" s="150">
        <f>IFERROR(I10/G10,"-")</f>
        <v/>
      </c>
      <c r="K10" s="165">
        <f>IFERROR(IF((H10-G10)/G10&gt;-0.05,"On Track",IF((H10-G10)/G10&gt;-0.15,"Watch","Behind Plan")),"-")</f>
        <v/>
      </c>
      <c r="L10" s="135" t="inlineStr">
        <is>
          <t>Q1'26A: $2,420M (+39%); 77% of Q1 rev</t>
        </is>
      </c>
    </row>
    <row r="11" ht="15" customHeight="1">
      <c r="B11" s="164" t="n">
        <v>2</v>
      </c>
      <c r="C11" s="92" t="inlineStr">
        <is>
          <t xml:space="preserve">  MRR ($M)</t>
        </is>
      </c>
      <c r="D11" s="164" t="inlineStr">
        <is>
          <t>Growth</t>
        </is>
      </c>
      <c r="E11" s="92" t="inlineStr"/>
      <c r="F11" s="164" t="inlineStr">
        <is>
          <t>Monthly</t>
        </is>
      </c>
      <c r="G11" s="196">
        <f>'FINANCIAL MODEL'!G44</f>
        <v/>
      </c>
      <c r="H11" s="196">
        <f>'FINANCIAL MODEL'!F44</f>
        <v/>
      </c>
      <c r="I11" s="105">
        <f>IFERROR(H11-G11,"-")</f>
        <v/>
      </c>
      <c r="J11" s="110">
        <f>IFERROR(I11/G11,"-")</f>
        <v/>
      </c>
      <c r="K11" s="165">
        <f>IFERROR(IF((H11-G11)/G11&gt;-0.05,"On Track",IF((H11-G11)/G11&gt;-0.15,"Watch","Behind Plan")),"-")</f>
        <v/>
      </c>
      <c r="L11" s="137" t="inlineStr">
        <is>
          <t>Q1'26A: $212M (+16%); Plus ~28%</t>
        </is>
      </c>
    </row>
    <row r="12" ht="15" customHeight="1">
      <c r="B12" s="160" t="n">
        <v>1</v>
      </c>
      <c r="C12" s="132" t="inlineStr">
        <is>
          <t>Blended Gross Margin</t>
        </is>
      </c>
      <c r="D12" s="160" t="inlineStr">
        <is>
          <t>Margin</t>
        </is>
      </c>
      <c r="E12" s="132" t="inlineStr"/>
      <c r="F12" s="160" t="inlineStr">
        <is>
          <t>Monthly</t>
        </is>
      </c>
      <c r="G12" s="197">
        <f>'FINANCIAL MODEL'!G8</f>
        <v/>
      </c>
      <c r="H12" s="197">
        <f>IFERROR('FINANCIAL MODEL'!F19/'FINANCIAL MODEL'!F17,"-")</f>
        <v/>
      </c>
      <c r="I12" s="189">
        <f>IFERROR(H12-G12,"-")</f>
        <v/>
      </c>
      <c r="J12" s="190">
        <f>IFERROR(I12/G12,"-")</f>
        <v/>
      </c>
      <c r="K12" s="191">
        <f>IFERROR(IF((H12-G12)/G12&gt;-0.05,"On Track",IF((H12-G12)/G12&gt;-0.15,"Watch","Behind Plan")),"-")</f>
        <v/>
      </c>
      <c r="L12" s="192" t="inlineStr">
        <is>
          <t>Q1'26A: 48.8%; modest improvement expected</t>
        </is>
      </c>
    </row>
    <row r="13" ht="15" customHeight="1">
      <c r="B13" s="164" t="n">
        <v>2</v>
      </c>
      <c r="C13" s="92" t="inlineStr">
        <is>
          <t xml:space="preserve">  Sub Solutions Gross Margin</t>
        </is>
      </c>
      <c r="D13" s="164" t="inlineStr">
        <is>
          <t>Margin</t>
        </is>
      </c>
      <c r="E13" s="92" t="inlineStr"/>
      <c r="F13" s="164" t="inlineStr">
        <is>
          <t>Monthly</t>
        </is>
      </c>
      <c r="G13" s="198" t="n">
        <v>0.8</v>
      </c>
      <c r="H13" s="198" t="n">
        <v>0.8</v>
      </c>
      <c r="I13" s="105">
        <f>IFERROR(H13-G13,"-")</f>
        <v/>
      </c>
      <c r="J13" s="110">
        <f>IFERROR(I13/G13,"-")</f>
        <v/>
      </c>
      <c r="K13" s="165">
        <f>IFERROR(IF((H13-G13)/G13&gt;-0.05,"On Track",IF((H13-G13)/G13&gt;-0.15,"Watch","Behind Plan")),"-")</f>
        <v/>
      </c>
      <c r="L13" s="137" t="inlineStr">
        <is>
          <t>AI/LLM cost headwind; -10bps YoY in Q1'26</t>
        </is>
      </c>
    </row>
    <row r="14" ht="15" customHeight="1">
      <c r="B14" s="167" t="n">
        <v>2</v>
      </c>
      <c r="C14" s="94" t="inlineStr">
        <is>
          <t xml:space="preserve">  Merchant Solutions Gross Margin</t>
        </is>
      </c>
      <c r="D14" s="167" t="inlineStr">
        <is>
          <t>Margin</t>
        </is>
      </c>
      <c r="E14" s="94" t="inlineStr"/>
      <c r="F14" s="167" t="inlineStr">
        <is>
          <t>Monthly</t>
        </is>
      </c>
      <c r="G14" s="199" t="n">
        <v>0.38</v>
      </c>
      <c r="H14" s="199" t="n">
        <v>0.375</v>
      </c>
      <c r="I14" s="107">
        <f>IFERROR(H14-G14,"-")</f>
        <v/>
      </c>
      <c r="J14" s="150">
        <f>IFERROR(I14/G14,"-")</f>
        <v/>
      </c>
      <c r="K14" s="165">
        <f>IFERROR(IF((H14-G14)/G14&gt;-0.05,"On Track",IF((H14-G14)/G14&gt;-0.15,"Watch","Behind Plan")),"-")</f>
        <v/>
      </c>
      <c r="L14" s="135" t="inlineStr">
        <is>
          <t>Payments mix increasing; take rate expanding</t>
        </is>
      </c>
    </row>
    <row r="15" ht="15" customHeight="1">
      <c r="B15" s="160" t="n">
        <v>1</v>
      </c>
      <c r="C15" s="132" t="inlineStr">
        <is>
          <t>Adj. EBITDA Margin</t>
        </is>
      </c>
      <c r="D15" s="160" t="inlineStr">
        <is>
          <t>Margin</t>
        </is>
      </c>
      <c r="E15" s="132" t="inlineStr"/>
      <c r="F15" s="160" t="inlineStr">
        <is>
          <t>Monthly</t>
        </is>
      </c>
      <c r="G15" s="197">
        <f>'FINANCIAL MODEL'!G26</f>
        <v/>
      </c>
      <c r="H15" s="197">
        <f>'FINANCIAL MODEL'!F26</f>
        <v/>
      </c>
      <c r="I15" s="189">
        <f>IFERROR(H15-G15,"-")</f>
        <v/>
      </c>
      <c r="J15" s="190">
        <f>IFERROR(I15/G15,"-")</f>
        <v/>
      </c>
      <c r="K15" s="191">
        <f>IFERROR(IF((H15-G15)/G15&gt;-0.05,"On Track",IF((H15-G15)/G15&gt;-0.15,"Watch","Behind Plan")),"-")</f>
        <v/>
      </c>
      <c r="L15" s="192" t="inlineStr">
        <is>
          <t>Q1'26A: 16.5% (adj.); opex leverage continues</t>
        </is>
      </c>
    </row>
    <row r="16" ht="15" customHeight="1">
      <c r="B16" s="167" t="n">
        <v>2</v>
      </c>
      <c r="C16" s="94" t="inlineStr">
        <is>
          <t xml:space="preserve">  S&amp;M % of Revenue</t>
        </is>
      </c>
      <c r="D16" s="167" t="inlineStr">
        <is>
          <t>Efficiency</t>
        </is>
      </c>
      <c r="E16" s="94" t="inlineStr"/>
      <c r="F16" s="167" t="inlineStr">
        <is>
          <t>Monthly</t>
        </is>
      </c>
      <c r="G16" s="200">
        <f>'FINANCIAL MODEL'!G9</f>
        <v/>
      </c>
      <c r="H16" s="199" t="n">
        <v>0.123</v>
      </c>
      <c r="I16" s="107">
        <f>IFERROR(H16-G16,"-")</f>
        <v/>
      </c>
      <c r="J16" s="150">
        <f>IFERROR(I16/G16,"-")</f>
        <v/>
      </c>
      <c r="K16" s="165">
        <f>IFERROR(IF((H16-G16)/G16&gt;-0.05,"On Track",IF((H16-G16)/G16&gt;-0.15,"Watch","Behind Plan")),"-")</f>
        <v/>
      </c>
      <c r="L16" s="135" t="inlineStr">
        <is>
          <t>Q1'26A: ~12.1%</t>
        </is>
      </c>
    </row>
    <row r="17" ht="15" customHeight="1">
      <c r="B17" s="164" t="n">
        <v>2</v>
      </c>
      <c r="C17" s="92" t="inlineStr">
        <is>
          <t xml:space="preserve">  R&amp;D % of Revenue</t>
        </is>
      </c>
      <c r="D17" s="164" t="inlineStr">
        <is>
          <t>Efficiency</t>
        </is>
      </c>
      <c r="E17" s="92" t="inlineStr"/>
      <c r="F17" s="164" t="inlineStr">
        <is>
          <t>Monthly</t>
        </is>
      </c>
      <c r="G17" s="201">
        <f>'FINANCIAL MODEL'!G10</f>
        <v/>
      </c>
      <c r="H17" s="198" t="n">
        <v>0.108</v>
      </c>
      <c r="I17" s="105">
        <f>IFERROR(H17-G17,"-")</f>
        <v/>
      </c>
      <c r="J17" s="110">
        <f>IFERROR(I17/G17,"-")</f>
        <v/>
      </c>
      <c r="K17" s="165">
        <f>IFERROR(IF((H17-G17)/G17&gt;-0.05,"On Track",IF((H17-G17)/G17&gt;-0.15,"Watch","Behind Plan")),"-")</f>
        <v/>
      </c>
      <c r="L17" s="137" t="inlineStr">
        <is>
          <t>AI/Sidekick investment increasing R&amp;D as % rev</t>
        </is>
      </c>
    </row>
    <row r="18" ht="15" customHeight="1">
      <c r="B18" s="167" t="n">
        <v>2</v>
      </c>
      <c r="C18" s="94" t="inlineStr">
        <is>
          <t xml:space="preserve">  OpEx Total % of Revenue</t>
        </is>
      </c>
      <c r="D18" s="167" t="inlineStr">
        <is>
          <t>Efficiency</t>
        </is>
      </c>
      <c r="E18" s="94" t="inlineStr"/>
      <c r="F18" s="167" t="inlineStr">
        <is>
          <t>Monthly</t>
        </is>
      </c>
      <c r="G18" s="200">
        <f>IFERROR('FINANCIAL MODEL'!G24/'FINANCIAL MODEL'!G17,"-")</f>
        <v/>
      </c>
      <c r="H18" s="199" t="n">
        <v>0.324</v>
      </c>
      <c r="I18" s="107">
        <f>IFERROR(H18-G18,"-")</f>
        <v/>
      </c>
      <c r="J18" s="150">
        <f>IFERROR(I18/G18,"-")</f>
        <v/>
      </c>
      <c r="K18" s="165">
        <f>IFERROR(IF((H18-G18)/G18&lt;0.05,"On Track",IF((H18-G18)/G18&lt;0.15,"Watch","Behind Plan")),"-")</f>
        <v/>
      </c>
      <c r="L18" s="135" t="inlineStr">
        <is>
          <t>Q1'26 = 32%; targeting 31% FY2026E</t>
        </is>
      </c>
    </row>
    <row r="19" ht="15" customHeight="1">
      <c r="B19" s="160" t="n">
        <v>1</v>
      </c>
      <c r="C19" s="132" t="inlineStr">
        <is>
          <t>GMV Specific KPIs</t>
        </is>
      </c>
      <c r="D19" s="160" t="inlineStr">
        <is>
          <t>Growth</t>
        </is>
      </c>
      <c r="E19" s="132" t="inlineStr"/>
      <c r="F19" s="160" t="inlineStr">
        <is>
          <t>Quarterly</t>
        </is>
      </c>
      <c r="G19" s="202" t="n"/>
      <c r="H19" s="202" t="n"/>
      <c r="I19" s="189">
        <f>IFERROR(H19-G19,"-")</f>
        <v/>
      </c>
      <c r="J19" s="190">
        <f>IFERROR(I19/G19,"-")</f>
        <v/>
      </c>
      <c r="K19" s="203" t="inlineStr">
        <is>
          <t>N/A</t>
        </is>
      </c>
      <c r="L19" s="192" t="inlineStr"/>
    </row>
    <row r="20" ht="15" customHeight="1">
      <c r="B20" s="167" t="n">
        <v>2</v>
      </c>
      <c r="C20" s="94" t="inlineStr">
        <is>
          <t xml:space="preserve">  GPV Penetration % GMV</t>
        </is>
      </c>
      <c r="D20" s="167" t="inlineStr">
        <is>
          <t>Payments</t>
        </is>
      </c>
      <c r="E20" s="94" t="inlineStr"/>
      <c r="F20" s="167" t="inlineStr">
        <is>
          <t>Quarterly</t>
        </is>
      </c>
      <c r="G20" s="200">
        <f>'FINANCIAL MODEL'!G42</f>
        <v/>
      </c>
      <c r="H20" s="200">
        <f>'FINANCIAL MODEL'!F42</f>
        <v/>
      </c>
      <c r="I20" s="107">
        <f>IFERROR(H20-G20,"-")</f>
        <v/>
      </c>
      <c r="J20" s="150">
        <f>IFERROR(I20/G20,"-")</f>
        <v/>
      </c>
      <c r="K20" s="165">
        <f>IFERROR(IF((H20-G20)/G20&gt;-0.05,"On Track",IF((H20-G20)/G20&gt;-0.15,"Watch","Behind Plan")),"-")</f>
        <v/>
      </c>
      <c r="L20" s="135" t="inlineStr">
        <is>
          <t>Q1'26A: 67%; +200bps/yr trajectory</t>
        </is>
      </c>
    </row>
    <row r="21" ht="15" customHeight="1">
      <c r="B21" s="164" t="n">
        <v>2</v>
      </c>
      <c r="C21" s="92" t="inlineStr">
        <is>
          <t xml:space="preserve">  Payments Take Rate (GPV/Rev)</t>
        </is>
      </c>
      <c r="D21" s="164" t="inlineStr">
        <is>
          <t>Payments</t>
        </is>
      </c>
      <c r="E21" s="92" t="inlineStr"/>
      <c r="F21" s="164" t="inlineStr">
        <is>
          <t>Quarterly</t>
        </is>
      </c>
      <c r="G21" s="204">
        <f>'FINANCIAL MODEL'!G43</f>
        <v/>
      </c>
      <c r="H21" s="204">
        <f>'FINANCIAL MODEL'!F43</f>
        <v/>
      </c>
      <c r="I21" s="105">
        <f>IFERROR(H21-G21,"-")</f>
        <v/>
      </c>
      <c r="J21" s="110">
        <f>IFERROR(I21/G21,"-")</f>
        <v/>
      </c>
      <c r="K21" s="165">
        <f>IFERROR(IF((H21-G21)/G21&gt;-0.05,"On Track",IF((H21-G21)/G21&gt;-0.15,"Watch","Behind Plan")),"-")</f>
        <v/>
      </c>
      <c r="L21" s="137" t="inlineStr">
        <is>
          <t>Q1'26A: 2.40% (+7bps YoY)</t>
        </is>
      </c>
    </row>
    <row r="22" ht="15" customHeight="1">
      <c r="B22" s="167" t="n">
        <v>2</v>
      </c>
      <c r="C22" s="94" t="inlineStr">
        <is>
          <t xml:space="preserve">  B2B GMV Growth %</t>
        </is>
      </c>
      <c r="D22" s="167" t="inlineStr">
        <is>
          <t>Growth</t>
        </is>
      </c>
      <c r="E22" s="94" t="inlineStr"/>
      <c r="F22" s="167" t="inlineStr">
        <is>
          <t>Quarterly</t>
        </is>
      </c>
      <c r="G22" s="199" t="n">
        <v>0.6</v>
      </c>
      <c r="H22" s="199" t="n"/>
      <c r="I22" s="107">
        <f>IFERROR(H22-G22,"-")</f>
        <v/>
      </c>
      <c r="J22" s="150">
        <f>IFERROR(I22/G22,"-")</f>
        <v/>
      </c>
      <c r="K22" s="165">
        <f>IFERROR(IF((H22-G22)/G22&gt;-0.05,"On Track",IF((H22-G22)/G22&gt;-0.15,"Watch","Behind Plan")),"-")</f>
        <v/>
      </c>
      <c r="L22" s="135" t="inlineStr">
        <is>
          <t>Q1'26A: +80% YoY; early-stage, pre-scale</t>
        </is>
      </c>
    </row>
    <row r="23" ht="15" customHeight="1">
      <c r="B23" s="164" t="n">
        <v>2</v>
      </c>
      <c r="C23" s="92" t="inlineStr">
        <is>
          <t xml:space="preserve">  International GMV Growth %</t>
        </is>
      </c>
      <c r="D23" s="164" t="inlineStr">
        <is>
          <t>Growth</t>
        </is>
      </c>
      <c r="E23" s="92" t="inlineStr"/>
      <c r="F23" s="164" t="inlineStr">
        <is>
          <t>Quarterly</t>
        </is>
      </c>
      <c r="G23" s="198" t="n">
        <v>0.35</v>
      </c>
      <c r="H23" s="198" t="n"/>
      <c r="I23" s="105">
        <f>IFERROR(H23-G23,"-")</f>
        <v/>
      </c>
      <c r="J23" s="110">
        <f>IFERROR(I23/G23,"-")</f>
        <v/>
      </c>
      <c r="K23" s="165">
        <f>IFERROR(IF((H23-G23)/G23&gt;-0.05,"On Track",IF((H23-G23)/G23&gt;-0.15,"Watch","Behind Plan")),"-")</f>
        <v/>
      </c>
      <c r="L23" s="137" t="inlineStr">
        <is>
          <t>Q1'26A: +45% YoY; Europe +48%</t>
        </is>
      </c>
    </row>
    <row r="24" ht="15" customHeight="1">
      <c r="B24" s="160" t="n">
        <v>1</v>
      </c>
      <c r="C24" s="132" t="inlineStr">
        <is>
          <t>Free Cash Flow ($M)</t>
        </is>
      </c>
      <c r="D24" s="160" t="inlineStr">
        <is>
          <t>Cash</t>
        </is>
      </c>
      <c r="E24" s="132" t="inlineStr"/>
      <c r="F24" s="160" t="inlineStr">
        <is>
          <t>Monthly</t>
        </is>
      </c>
      <c r="G24" s="193">
        <f>'FINANCIAL MODEL'!G38</f>
        <v/>
      </c>
      <c r="H24" s="193">
        <f>'FINANCIAL MODEL'!F38</f>
        <v/>
      </c>
      <c r="I24" s="189">
        <f>IFERROR(H24-G24,"-")</f>
        <v/>
      </c>
      <c r="J24" s="190">
        <f>IFERROR(I24/G24,"-")</f>
        <v/>
      </c>
      <c r="K24" s="191">
        <f>IFERROR(IF((H24-G24)/G24&gt;-0.05,"On Track",IF((H24-G24)/G24&gt;-0.15,"Watch","Behind Plan")),"-")</f>
        <v/>
      </c>
      <c r="L24" s="192" t="inlineStr">
        <is>
          <t>Q1'26A: $476M (15%); full-yr cons $2.6B (17.5%)</t>
        </is>
      </c>
    </row>
    <row r="25" ht="15" customHeight="1">
      <c r="B25" s="164" t="n">
        <v>2</v>
      </c>
      <c r="C25" s="92" t="inlineStr">
        <is>
          <t xml:space="preserve">  FCF Margin</t>
        </is>
      </c>
      <c r="D25" s="164" t="inlineStr">
        <is>
          <t>Cash</t>
        </is>
      </c>
      <c r="E25" s="92" t="inlineStr"/>
      <c r="F25" s="164" t="inlineStr">
        <is>
          <t>Monthly</t>
        </is>
      </c>
      <c r="G25" s="201">
        <f>IFERROR('FINANCIAL MODEL'!G38/'FINANCIAL MODEL'!G17,"-")</f>
        <v/>
      </c>
      <c r="H25" s="201">
        <f>IFERROR('FINANCIAL MODEL'!F38/'FINANCIAL MODEL'!F17,"-")</f>
        <v/>
      </c>
      <c r="I25" s="105">
        <f>IFERROR(H25-G25,"-")</f>
        <v/>
      </c>
      <c r="J25" s="110">
        <f>IFERROR(I25/G25,"-")</f>
        <v/>
      </c>
      <c r="K25" s="165">
        <f>IFERROR(IF((H25-G25)/G25&gt;-0.05,"On Track",IF((H25-G25)/G25&gt;-0.15,"Watch","Behind Plan")),"-")</f>
        <v/>
      </c>
      <c r="L25" s="137" t="inlineStr">
        <is>
          <t>Q2'26 guide: mid-teens (MCA reclass headwind)</t>
        </is>
      </c>
    </row>
    <row r="26" ht="15" customHeight="1">
      <c r="B26" s="167" t="n">
        <v>2</v>
      </c>
      <c r="C26" s="94" t="inlineStr">
        <is>
          <t xml:space="preserve">  Capex % Revenue</t>
        </is>
      </c>
      <c r="D26" s="167" t="inlineStr">
        <is>
          <t>Cash</t>
        </is>
      </c>
      <c r="E26" s="94" t="inlineStr"/>
      <c r="F26" s="167" t="inlineStr">
        <is>
          <t>Monthly</t>
        </is>
      </c>
      <c r="G26" s="200">
        <f>'FINANCIAL MODEL'!G14</f>
        <v/>
      </c>
      <c r="H26" s="199" t="n">
        <v>0.017</v>
      </c>
      <c r="I26" s="107">
        <f>IFERROR(H26-G26,"-")</f>
        <v/>
      </c>
      <c r="J26" s="150">
        <f>IFERROR(I26/G26,"-")</f>
        <v/>
      </c>
      <c r="K26" s="165">
        <f>IFERROR(IF((H26-G26)/G26&lt;0.05,"On Track",IF((H26-G26)/G26&lt;0.15,"Watch","Behind Plan")),"-")</f>
        <v/>
      </c>
      <c r="L26" s="135" t="inlineStr">
        <is>
          <t>Lean capex model maintained</t>
        </is>
      </c>
    </row>
  </sheetData>
  <mergeCells count="2">
    <mergeCell ref="B4:K4"/>
    <mergeCell ref="B2:K2"/>
  </mergeCells>
  <dataValidations count="20">
    <dataValidation sqref="K7" showDropDown="0" showInputMessage="0" showErrorMessage="0" allowBlank="0" type="list">
      <formula1>"On Track,Watch,Behind Plan,N/A"</formula1>
    </dataValidation>
    <dataValidation sqref="K8" showDropDown="0" showInputMessage="0" showErrorMessage="0" allowBlank="0" type="list">
      <formula1>"On Track,Watch,Behind Plan,N/A"</formula1>
    </dataValidation>
    <dataValidation sqref="K9" showDropDown="0" showInputMessage="0" showErrorMessage="0" allowBlank="0" type="list">
      <formula1>"On Track,Watch,Behind Plan,N/A"</formula1>
    </dataValidation>
    <dataValidation sqref="K10" showDropDown="0" showInputMessage="0" showErrorMessage="0" allowBlank="0" type="list">
      <formula1>"On Track,Watch,Behind Plan,N/A"</formula1>
    </dataValidation>
    <dataValidation sqref="K11" showDropDown="0" showInputMessage="0" showErrorMessage="0" allowBlank="0" type="list">
      <formula1>"On Track,Watch,Behind Plan,N/A"</formula1>
    </dataValidation>
    <dataValidation sqref="K12" showDropDown="0" showInputMessage="0" showErrorMessage="0" allowBlank="0" type="list">
      <formula1>"On Track,Watch,Behind Plan,N/A"</formula1>
    </dataValidation>
    <dataValidation sqref="K13" showDropDown="0" showInputMessage="0" showErrorMessage="0" allowBlank="0" type="list">
      <formula1>"On Track,Watch,Behind Plan,N/A"</formula1>
    </dataValidation>
    <dataValidation sqref="K14" showDropDown="0" showInputMessage="0" showErrorMessage="0" allowBlank="0" type="list">
      <formula1>"On Track,Watch,Behind Plan,N/A"</formula1>
    </dataValidation>
    <dataValidation sqref="K15" showDropDown="0" showInputMessage="0" showErrorMessage="0" allowBlank="0" type="list">
      <formula1>"On Track,Watch,Behind Plan,N/A"</formula1>
    </dataValidation>
    <dataValidation sqref="K16" showDropDown="0" showInputMessage="0" showErrorMessage="0" allowBlank="0" type="list">
      <formula1>"On Track,Watch,Behind Plan,N/A"</formula1>
    </dataValidation>
    <dataValidation sqref="K17" showDropDown="0" showInputMessage="0" showErrorMessage="0" allowBlank="0" type="list">
      <formula1>"On Track,Watch,Behind Plan,N/A"</formula1>
    </dataValidation>
    <dataValidation sqref="K18" showDropDown="0" showInputMessage="0" showErrorMessage="0" allowBlank="0" type="list">
      <formula1>"On Track,Watch,Behind Plan,N/A"</formula1>
    </dataValidation>
    <dataValidation sqref="K19" showDropDown="0" showInputMessage="0" showErrorMessage="0" allowBlank="0" type="list">
      <formula1>"On Track,Watch,Behind Plan,N/A"</formula1>
    </dataValidation>
    <dataValidation sqref="K20" showDropDown="0" showInputMessage="0" showErrorMessage="0" allowBlank="0" type="list">
      <formula1>"On Track,Watch,Behind Plan,N/A"</formula1>
    </dataValidation>
    <dataValidation sqref="K21" showDropDown="0" showInputMessage="0" showErrorMessage="0" allowBlank="0" type="list">
      <formula1>"On Track,Watch,Behind Plan,N/A"</formula1>
    </dataValidation>
    <dataValidation sqref="K22" showDropDown="0" showInputMessage="0" showErrorMessage="0" allowBlank="0" type="list">
      <formula1>"On Track,Watch,Behind Plan,N/A"</formula1>
    </dataValidation>
    <dataValidation sqref="K23" showDropDown="0" showInputMessage="0" showErrorMessage="0" allowBlank="0" type="list">
      <formula1>"On Track,Watch,Behind Plan,N/A"</formula1>
    </dataValidation>
    <dataValidation sqref="K24" showDropDown="0" showInputMessage="0" showErrorMessage="0" allowBlank="0" type="list">
      <formula1>"On Track,Watch,Behind Plan,N/A"</formula1>
    </dataValidation>
    <dataValidation sqref="K25" showDropDown="0" showInputMessage="0" showErrorMessage="0" allowBlank="0" type="list">
      <formula1>"On Track,Watch,Behind Plan,N/A"</formula1>
    </dataValidation>
    <dataValidation sqref="K26" showDropDown="0" showInputMessage="0" showErrorMessage="0" allowBlank="0" type="list">
      <formula1>"On Track,Watch,Behind Plan,N/A"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H16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50" customWidth="1" min="2" max="2"/>
    <col width="18" customWidth="1" min="3" max="3"/>
    <col width="16" customWidth="1" min="4" max="4"/>
    <col width="16" customWidth="1" min="5" max="5"/>
    <col width="3" customWidth="1" min="6" max="6"/>
  </cols>
  <sheetData>
    <row r="2" ht="22" customHeight="1">
      <c r="B2" s="84" t="inlineStr">
        <is>
          <t>MOIC Bridge — Shopify Entry to Exit (FY2028E Base)</t>
        </is>
      </c>
      <c r="C2" s="216" t="n"/>
      <c r="D2" s="216" t="n"/>
      <c r="E2" s="85" t="n"/>
    </row>
    <row r="3" ht="12" customHeight="1">
      <c r="A3" s="87" t="n"/>
      <c r="B3" s="87" t="n"/>
      <c r="C3" s="87" t="n"/>
      <c r="D3" s="87" t="n"/>
      <c r="E3" s="87" t="n"/>
      <c r="F3" s="87" t="n"/>
    </row>
    <row r="4">
      <c r="B4" s="111" t="inlineStr">
        <is>
          <t>Equity value waterfall from entry ($108/share) to exit (FY2028E base). NTB contributions pull from NTB Registry (incremental EV if NTB confirmed). Note: Shopify is a public equity long; MOIC reflects total return, not PE carry.</t>
        </is>
      </c>
    </row>
    <row r="5" ht="12" customHeight="1">
      <c r="A5" s="87" t="n"/>
      <c r="B5" s="87" t="n"/>
      <c r="C5" s="87" t="n"/>
      <c r="D5" s="87" t="n"/>
      <c r="E5" s="87" t="n"/>
      <c r="F5" s="87" t="n"/>
      <c r="G5" s="87" t="n"/>
    </row>
    <row r="6" ht="18" customHeight="1">
      <c r="B6" s="90" t="inlineStr">
        <is>
          <t>Component</t>
        </is>
      </c>
      <c r="C6" s="120" t="inlineStr">
        <is>
          <t>Equity Value ($M)</t>
        </is>
      </c>
      <c r="D6" s="120" t="inlineStr">
        <is>
          <t>MOIC Contribution</t>
        </is>
      </c>
      <c r="E6" s="120" t="inlineStr">
        <is>
          <t>Cumulative MOIC</t>
        </is>
      </c>
    </row>
    <row r="7" ht="15" customHeight="1">
      <c r="B7" s="90" t="inlineStr">
        <is>
          <t>Entry Equity Invested  ($108/share × 1,307M)</t>
        </is>
      </c>
      <c r="C7" s="205">
        <f>INPUTS!C21</f>
        <v/>
      </c>
      <c r="D7" s="206" t="n">
        <v>1</v>
      </c>
      <c r="E7" s="206">
        <f>IFERROR(INPUTS!C21/INPUTS!C21,"-")</f>
        <v/>
      </c>
    </row>
    <row r="8" ht="15" customHeight="1">
      <c r="B8" s="92" t="inlineStr">
        <is>
          <t>NTB-1: GMV Sustains 25%+ Through FY2027</t>
        </is>
      </c>
      <c r="C8" s="196">
        <f>IFERROR('NTB REGISTRY'!F8,"-")</f>
        <v/>
      </c>
      <c r="D8" s="207">
        <f>IFERROR('NTB REGISTRY'!G8,"-")</f>
        <v/>
      </c>
      <c r="E8" s="208">
        <f>IFERROR(E7+D8,"-")</f>
        <v/>
      </c>
    </row>
    <row r="9" ht="15" customHeight="1">
      <c r="B9" s="94" t="inlineStr">
        <is>
          <t>NTB-2: Payments GPV Penetration to 70%+</t>
        </is>
      </c>
      <c r="C9" s="209">
        <f>IFERROR('NTB REGISTRY'!F9,"-")</f>
        <v/>
      </c>
      <c r="D9" s="210">
        <f>IFERROR('NTB REGISTRY'!G9,"-")</f>
        <v/>
      </c>
      <c r="E9" s="211">
        <f>IFERROR(E8+D9,"-")</f>
        <v/>
      </c>
    </row>
    <row r="10" ht="15" customHeight="1">
      <c r="B10" s="92" t="inlineStr">
        <is>
          <t>NTB-3: AI Commerce Net Revenue-Positive</t>
        </is>
      </c>
      <c r="C10" s="196">
        <f>IFERROR('NTB REGISTRY'!F10,"-")</f>
        <v/>
      </c>
      <c r="D10" s="207">
        <f>IFERROR('NTB REGISTRY'!G10,"-")</f>
        <v/>
      </c>
      <c r="E10" s="208">
        <f>IFERROR(E9+D10,"-")</f>
        <v/>
      </c>
    </row>
    <row r="11" ht="15" customHeight="1">
      <c r="B11" s="94" t="inlineStr">
        <is>
          <t>NTB-4: Enterprise Plus Margin Durable</t>
        </is>
      </c>
      <c r="C11" s="209">
        <f>IFERROR('NTB REGISTRY'!F11,"-")</f>
        <v/>
      </c>
      <c r="D11" s="210">
        <f>IFERROR('NTB REGISTRY'!G11,"-")</f>
        <v/>
      </c>
      <c r="E11" s="211">
        <f>IFERROR(E10+D11,"-")</f>
        <v/>
      </c>
    </row>
    <row r="12" ht="15" customHeight="1">
      <c r="B12" s="92" t="inlineStr">
        <is>
          <t>NTB-5: FCF Margin Expands to 20%+</t>
        </is>
      </c>
      <c r="C12" s="196">
        <f>IFERROR('NTB REGISTRY'!F12,"-")</f>
        <v/>
      </c>
      <c r="D12" s="207">
        <f>IFERROR('NTB REGISTRY'!G12,"-")</f>
        <v/>
      </c>
      <c r="E12" s="208">
        <f>IFERROR(E11+D12,"-")</f>
        <v/>
      </c>
    </row>
    <row r="13" ht="15" customHeight="1">
      <c r="B13" s="94" t="inlineStr">
        <is>
          <t>NTB-6: Macro Does Not Materially Deteriorate</t>
        </is>
      </c>
      <c r="C13" s="209">
        <f>IFERROR('NTB REGISTRY'!F13,"-")</f>
        <v/>
      </c>
      <c r="D13" s="210">
        <f>IFERROR('NTB REGISTRY'!G13,"-")</f>
        <v/>
      </c>
      <c r="E13" s="211">
        <f>IFERROR(E12+D13,"-")</f>
        <v/>
      </c>
    </row>
    <row r="14" ht="15" customHeight="1">
      <c r="B14" s="212" t="inlineStr">
        <is>
          <t>Multiple Re-rating / Compression (net)</t>
        </is>
      </c>
      <c r="C14" s="213" t="n"/>
      <c r="D14" s="214" t="n"/>
      <c r="E14" s="215">
        <f>IFERROR(E13+D14,"-")</f>
        <v/>
      </c>
    </row>
    <row r="15" ht="12" customHeight="1">
      <c r="A15" s="87" t="n"/>
      <c r="B15" s="87" t="n"/>
      <c r="C15" s="87" t="n"/>
      <c r="D15" s="87" t="n"/>
      <c r="E15" s="87" t="n"/>
      <c r="F15" s="87" t="n"/>
      <c r="G15" s="87" t="n"/>
      <c r="H15" s="87" t="n"/>
    </row>
    <row r="16" ht="15" customHeight="1">
      <c r="B16" s="90" t="inlineStr">
        <is>
          <t>Exit Proceeds to Equity  (FY2028E Base: 45x × $4.49B EBITDA + $8.5B net cash)</t>
        </is>
      </c>
      <c r="C16" s="205">
        <f>INPUTS!C30</f>
        <v/>
      </c>
      <c r="D16" s="206">
        <f>IFERROR(INPUTS!C30/INPUTS!C21,"-")</f>
        <v/>
      </c>
      <c r="E16" s="206">
        <f>IFERROR(INPUTS!C30/INPUTS!C21,"-")</f>
        <v/>
      </c>
    </row>
  </sheetData>
  <mergeCells count="3">
    <mergeCell ref="B16"/>
    <mergeCell ref="B2:D2"/>
    <mergeCell ref="B4:D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N36"/>
  <sheetViews>
    <sheetView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34" customWidth="1" min="2" max="2"/>
    <col width="9" customWidth="1" min="3" max="3"/>
    <col width="22" customWidth="1" min="4" max="4"/>
    <col width="7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9" customWidth="1" min="11" max="11"/>
    <col width="12" customWidth="1" min="12" max="12"/>
    <col width="13" customWidth="1" min="13" max="13"/>
    <col width="10" customWidth="1" min="14" max="14"/>
  </cols>
  <sheetData>
    <row r="1" ht="22" customHeight="1">
      <c r="B1" s="219" t="inlineStr">
        <is>
          <t>DRIVER TREE  ·  SHOPIFY DEAL WORKBOOK</t>
        </is>
      </c>
    </row>
    <row r="2" ht="14" customHeight="1">
      <c r="B2" s="220" t="inlineStr">
        <is>
          <t>Revenue driver decomposition → EBITDA cascade → EV/MOIC attribution  |  Entry: FY2026E  |  Exit: FY2028E  |  Entry Multiple: 48.5×  |  Exit Multiple: 45.0×</t>
        </is>
      </c>
    </row>
    <row r="3" ht="14" customHeight="1">
      <c r="B3" s="221" t="inlineStr">
        <is>
          <t>Decomposition: GMV volume (at entry attach rate) + attach rate improvement (at exit GMV). EBITDA impact uses segment incremental margins calibrated to model. EV impact uses entry multiple (Paasche). Sources: [Model] = model.xlsx, [IC Memo] = Shopify IC Memo v2, [Analyst] = analyst allocation.</t>
        </is>
      </c>
    </row>
    <row r="4" ht="6" customHeight="1"/>
    <row r="5" ht="16" customHeight="1">
      <c r="B5" s="222" t="inlineStr">
        <is>
          <t>REVENUE DRIVER DECOMPOSITION  →  EBITDA  →  EV  →  MOIC</t>
        </is>
      </c>
      <c r="C5" s="223" t="n"/>
      <c r="D5" s="223" t="n"/>
      <c r="E5" s="223" t="n"/>
      <c r="F5" s="223" t="n"/>
      <c r="G5" s="223" t="n"/>
      <c r="H5" s="223" t="n"/>
      <c r="I5" s="223" t="n"/>
      <c r="J5" s="223" t="n"/>
      <c r="K5" s="223" t="n"/>
      <c r="L5" s="223" t="n"/>
      <c r="M5" s="223" t="n"/>
      <c r="N5" s="223" t="n"/>
    </row>
    <row r="6" ht="32" customHeight="1">
      <c r="B6" s="224" t="inlineStr">
        <is>
          <t>Driver</t>
        </is>
      </c>
      <c r="C6" s="225" t="inlineStr">
        <is>
          <t>Source</t>
        </is>
      </c>
      <c r="D6" s="225" t="inlineStr">
        <is>
          <t>KPI Metric</t>
        </is>
      </c>
      <c r="E6" s="225" t="inlineStr">
        <is>
          <t>Unit</t>
        </is>
      </c>
      <c r="F6" s="225" t="inlineStr">
        <is>
          <t>FY2025A</t>
        </is>
      </c>
      <c r="G6" s="225" t="inlineStr">
        <is>
          <t>FY2026E
(Entry)</t>
        </is>
      </c>
      <c r="H6" s="225" t="inlineStr">
        <is>
          <t>FY2028E
(Exit)</t>
        </is>
      </c>
      <c r="I6" s="225" t="inlineStr">
        <is>
          <t>Δ (28E–26E)</t>
        </is>
      </c>
      <c r="J6" s="225" t="inlineStr">
        <is>
          <t>Revenue
Impact ($M)</t>
        </is>
      </c>
      <c r="K6" s="225" t="inlineStr">
        <is>
          <t>Incr.
EBITDA %</t>
        </is>
      </c>
      <c r="L6" s="225" t="inlineStr">
        <is>
          <t>EBITDA
Impact ($M)</t>
        </is>
      </c>
      <c r="M6" s="225" t="inlineStr">
        <is>
          <t>EV Impact
($M, ×48.5)</t>
        </is>
      </c>
      <c r="N6" s="225" t="inlineStr">
        <is>
          <t>MOIC
Delta (×)</t>
        </is>
      </c>
    </row>
    <row r="7" ht="14" customHeight="1">
      <c r="B7" s="226" t="inlineStr">
        <is>
          <t>MERCHANT SOLUTIONS REVENUE</t>
        </is>
      </c>
      <c r="C7" s="227" t="n"/>
      <c r="D7" s="227" t="n"/>
      <c r="E7" s="227" t="n"/>
      <c r="F7" s="228" t="inlineStr">
        <is>
          <t>$M</t>
        </is>
      </c>
      <c r="G7" s="229" t="n">
        <v>11513</v>
      </c>
      <c r="H7" s="229" t="n">
        <v>18115</v>
      </c>
      <c r="I7" s="230" t="n">
        <v>6602</v>
      </c>
      <c r="J7" s="227" t="n"/>
      <c r="K7" s="227" t="n"/>
      <c r="L7" s="227" t="n"/>
      <c r="M7" s="227" t="n"/>
      <c r="N7" s="227" t="n"/>
    </row>
    <row r="8" ht="12" customHeight="1">
      <c r="B8" s="231" t="inlineStr">
        <is>
          <t xml:space="preserve">  GMV Growth → Volume Effect</t>
        </is>
      </c>
      <c r="C8" s="227" t="n"/>
      <c r="D8" s="232" t="inlineStr">
        <is>
          <t>GMV growth × entry attach rate (240.9 bps)</t>
        </is>
      </c>
      <c r="E8" s="227" t="n"/>
      <c r="F8" s="227" t="n"/>
      <c r="G8" s="227" t="n"/>
      <c r="H8" s="227" t="n"/>
      <c r="I8" s="227" t="n"/>
      <c r="J8" s="227" t="n"/>
      <c r="K8" s="227" t="n"/>
      <c r="L8" s="227" t="n"/>
      <c r="M8" s="227" t="n"/>
      <c r="N8" s="227" t="n"/>
    </row>
    <row r="9" ht="14" customHeight="1">
      <c r="B9" s="233" t="inlineStr">
        <is>
          <t xml:space="preserve">        Same-Cohort Productivity</t>
        </is>
      </c>
      <c r="C9" s="234" t="inlineStr">
        <is>
          <t>Analyst</t>
        </is>
      </c>
      <c r="D9" s="235" t="inlineStr">
        <is>
          <t>Existing merchant GMV expansion (40% alloc.)</t>
        </is>
      </c>
      <c r="E9" s="236" t="inlineStr">
        <is>
          <t>$B</t>
        </is>
      </c>
      <c r="F9" s="237" t="n">
        <v>151.376</v>
      </c>
      <c r="G9" s="237" t="n">
        <v>191.135</v>
      </c>
      <c r="H9" s="237" t="n">
        <v>279.822</v>
      </c>
      <c r="I9" s="237" t="n">
        <v>88.687</v>
      </c>
      <c r="J9" s="238" t="n">
        <v>2136.465</v>
      </c>
      <c r="K9" s="239" t="n">
        <v>0.214</v>
      </c>
      <c r="L9" s="238" t="n">
        <v>457.138</v>
      </c>
      <c r="M9" s="238" t="n">
        <v>22171.171</v>
      </c>
      <c r="N9" s="240" t="n">
        <v>0.157</v>
      </c>
    </row>
    <row r="10" ht="14" customHeight="1">
      <c r="B10" s="241" t="inlineStr">
        <is>
          <t xml:space="preserve">        New Merchant Acquisition</t>
        </is>
      </c>
      <c r="C10" s="242" t="inlineStr">
        <is>
          <t>Analyst</t>
        </is>
      </c>
      <c r="D10" s="243" t="inlineStr">
        <is>
          <t>Net new merchant cohort GMV (30% alloc.)</t>
        </is>
      </c>
      <c r="E10" s="244" t="inlineStr">
        <is>
          <t>$B</t>
        </is>
      </c>
      <c r="F10" s="245" t="n">
        <v>113.532</v>
      </c>
      <c r="G10" s="245" t="n">
        <v>143.351</v>
      </c>
      <c r="H10" s="245" t="n">
        <v>209.866</v>
      </c>
      <c r="I10" s="245" t="n">
        <v>66.515</v>
      </c>
      <c r="J10" s="246" t="n">
        <v>1602.349</v>
      </c>
      <c r="K10" s="247" t="n">
        <v>0.214</v>
      </c>
      <c r="L10" s="246" t="n">
        <v>342.853</v>
      </c>
      <c r="M10" s="246" t="n">
        <v>16628.378</v>
      </c>
      <c r="N10" s="248" t="n">
        <v>0.117</v>
      </c>
    </row>
    <row r="11" ht="14" customHeight="1">
      <c r="B11" s="233" t="inlineStr">
        <is>
          <t xml:space="preserve">        Geographic Expansion (International)</t>
        </is>
      </c>
      <c r="C11" s="249" t="inlineStr">
        <is>
          <t>IC Memo</t>
        </is>
      </c>
      <c r="D11" s="235" t="inlineStr">
        <is>
          <t>International GMV (Europe, LatAm, Asia) — +45% YoY Q1'26 (20% alloc.)</t>
        </is>
      </c>
      <c r="E11" s="236" t="inlineStr">
        <is>
          <t>$B</t>
        </is>
      </c>
      <c r="F11" s="237" t="n">
        <v>75.688</v>
      </c>
      <c r="G11" s="237" t="n">
        <v>95.568</v>
      </c>
      <c r="H11" s="237" t="n">
        <v>139.911</v>
      </c>
      <c r="I11" s="237" t="n">
        <v>44.343</v>
      </c>
      <c r="J11" s="238" t="n">
        <v>1068.233</v>
      </c>
      <c r="K11" s="239" t="n">
        <v>0.214</v>
      </c>
      <c r="L11" s="238" t="n">
        <v>228.569</v>
      </c>
      <c r="M11" s="238" t="n">
        <v>11085.585</v>
      </c>
      <c r="N11" s="240" t="n">
        <v>0.078</v>
      </c>
    </row>
    <row r="12" ht="14" customHeight="1">
      <c r="B12" s="241" t="inlineStr">
        <is>
          <t xml:space="preserve">        B2B / POS / Channel Expansion</t>
        </is>
      </c>
      <c r="C12" s="250" t="inlineStr">
        <is>
          <t>IC Memo</t>
        </is>
      </c>
      <c r="D12" s="243" t="inlineStr">
        <is>
          <t>B2B GMV (+80% Q1'26), Offline POS (+33%), Shop App (10% alloc.)</t>
        </is>
      </c>
      <c r="E12" s="244" t="inlineStr">
        <is>
          <t>$B</t>
        </is>
      </c>
      <c r="F12" s="245" t="n">
        <v>37.844</v>
      </c>
      <c r="G12" s="245" t="n">
        <v>47.784</v>
      </c>
      <c r="H12" s="245" t="n">
        <v>69.956</v>
      </c>
      <c r="I12" s="245" t="n">
        <v>22.172</v>
      </c>
      <c r="J12" s="246" t="n">
        <v>534.116</v>
      </c>
      <c r="K12" s="247" t="n">
        <v>0.214</v>
      </c>
      <c r="L12" s="246" t="n">
        <v>114.284</v>
      </c>
      <c r="M12" s="246" t="n">
        <v>5542.793</v>
      </c>
      <c r="N12" s="248" t="n">
        <v>0.039</v>
      </c>
    </row>
    <row r="13" ht="13" customHeight="1">
      <c r="B13" s="251" t="inlineStr">
        <is>
          <t xml:space="preserve">      Subtotal: GMV Volume Effect</t>
        </is>
      </c>
      <c r="C13" s="252" t="inlineStr"/>
      <c r="D13" s="253" t="inlineStr"/>
      <c r="E13" s="254" t="inlineStr"/>
      <c r="F13" s="255" t="n"/>
      <c r="G13" s="255" t="n"/>
      <c r="H13" s="255" t="n"/>
      <c r="I13" s="256" t="n">
        <v>221.7</v>
      </c>
      <c r="J13" s="257" t="n">
        <v>5341.163</v>
      </c>
      <c r="K13" s="255" t="n">
        <v>0.214</v>
      </c>
      <c r="L13" s="257" t="n">
        <v>1142.844</v>
      </c>
      <c r="M13" s="257" t="n">
        <v>55427.927</v>
      </c>
      <c r="N13" s="258" t="n">
        <v>0.392</v>
      </c>
    </row>
    <row r="14" ht="12" customHeight="1">
      <c r="B14" s="231" t="inlineStr">
        <is>
          <t xml:space="preserve">  Attach Rate Improvement</t>
        </is>
      </c>
      <c r="C14" s="227" t="n"/>
      <c r="D14" s="232" t="inlineStr">
        <is>
          <t>Attach rate (bps) improvement × FY2028E GMV of $699.6B</t>
        </is>
      </c>
      <c r="E14" s="227" t="n"/>
      <c r="F14" s="227" t="n"/>
      <c r="G14" s="227" t="n"/>
      <c r="H14" s="227" t="n"/>
      <c r="I14" s="227" t="n"/>
      <c r="J14" s="227" t="n"/>
      <c r="K14" s="227" t="n"/>
      <c r="L14" s="227" t="n"/>
      <c r="M14" s="227" t="n"/>
      <c r="N14" s="227" t="n"/>
    </row>
    <row r="15" ht="14" customHeight="1">
      <c r="B15" s="233" t="inlineStr">
        <is>
          <t xml:space="preserve">        GPV Penetration (71% → 79%)</t>
        </is>
      </c>
      <c r="C15" s="249" t="inlineStr">
        <is>
          <t>Model + IC Memo</t>
        </is>
      </c>
      <c r="D15" s="235" t="inlineStr">
        <is>
          <t>Shopify Payments GPV% — 100bps = $124M revenue at exit GMV</t>
        </is>
      </c>
      <c r="E15" s="236" t="inlineStr">
        <is>
          <t>%</t>
        </is>
      </c>
      <c r="F15" s="239" t="n">
        <v>68</v>
      </c>
      <c r="G15" s="239" t="n">
        <v>71</v>
      </c>
      <c r="H15" s="239" t="n">
        <v>79</v>
      </c>
      <c r="I15" s="239" t="n">
        <v>8</v>
      </c>
      <c r="J15" s="238" t="n">
        <v>990.806</v>
      </c>
      <c r="K15" s="239" t="n">
        <v>0.214</v>
      </c>
      <c r="L15" s="238" t="n">
        <v>212.002</v>
      </c>
      <c r="M15" s="238" t="n">
        <v>10282.088</v>
      </c>
      <c r="N15" s="240" t="n">
        <v>0.073</v>
      </c>
    </row>
    <row r="16" ht="14" customHeight="1">
      <c r="B16" s="241" t="inlineStr">
        <is>
          <t xml:space="preserve">        Non-Payments Attach (MCA, Balance, Markets)</t>
        </is>
      </c>
      <c r="C16" s="244" t="inlineStr">
        <is>
          <t>Model</t>
        </is>
      </c>
      <c r="D16" s="243" t="inlineStr">
        <is>
          <t>Shopify Capital, Balance, Markets — incremental bps at exit GMV</t>
        </is>
      </c>
      <c r="E16" s="244" t="inlineStr">
        <is>
          <t>bps</t>
        </is>
      </c>
      <c r="F16" s="247" t="n">
        <v>0</v>
      </c>
      <c r="G16" s="247" t="n">
        <v>0</v>
      </c>
      <c r="H16" s="247" t="n">
        <v>0</v>
      </c>
      <c r="I16" s="247" t="n">
        <v>16.6</v>
      </c>
      <c r="J16" s="246" t="n">
        <v>268.393</v>
      </c>
      <c r="K16" s="247" t="n">
        <v>0.214</v>
      </c>
      <c r="L16" s="246" t="n">
        <v>57.428</v>
      </c>
      <c r="M16" s="246" t="n">
        <v>2785.253</v>
      </c>
      <c r="N16" s="248" t="n">
        <v>0.02</v>
      </c>
    </row>
    <row r="17" ht="13" customHeight="1">
      <c r="B17" s="251" t="inlineStr">
        <is>
          <t xml:space="preserve">      Subtotal: Attach Rate Improvement</t>
        </is>
      </c>
      <c r="C17" s="252" t="inlineStr"/>
      <c r="D17" s="253" t="inlineStr"/>
      <c r="E17" s="254" t="inlineStr"/>
      <c r="F17" s="255" t="n"/>
      <c r="G17" s="255" t="n">
        <v>240.9</v>
      </c>
      <c r="H17" s="255" t="n">
        <v>258.9</v>
      </c>
      <c r="I17" s="255" t="n">
        <v>18</v>
      </c>
      <c r="J17" s="257" t="n">
        <v>1259.199</v>
      </c>
      <c r="K17" s="255" t="n">
        <v>0.214</v>
      </c>
      <c r="L17" s="257" t="n">
        <v>269.43</v>
      </c>
      <c r="M17" s="257" t="n">
        <v>13067.341</v>
      </c>
      <c r="N17" s="258" t="n">
        <v>0.092</v>
      </c>
    </row>
    <row r="18" ht="15" customHeight="1">
      <c r="B18" s="251" t="inlineStr">
        <is>
          <t>TOTAL: Merchant Solutions Revenue</t>
        </is>
      </c>
      <c r="C18" s="254" t="inlineStr">
        <is>
          <t>Model</t>
        </is>
      </c>
      <c r="D18" s="253" t="inlineStr"/>
      <c r="E18" s="254" t="inlineStr">
        <is>
          <t>$M</t>
        </is>
      </c>
      <c r="F18" s="259" t="n"/>
      <c r="G18" s="259" t="n">
        <v>11513</v>
      </c>
      <c r="H18" s="259" t="n">
        <v>18115</v>
      </c>
      <c r="I18" s="259" t="n">
        <v>6602</v>
      </c>
      <c r="J18" s="257" t="n">
        <v>6602</v>
      </c>
      <c r="K18" s="255" t="n">
        <v>0.214</v>
      </c>
      <c r="L18" s="257" t="n">
        <v>1412.274</v>
      </c>
      <c r="M18" s="257" t="n">
        <v>68495.268</v>
      </c>
      <c r="N18" s="258" t="n">
        <v>0.484</v>
      </c>
    </row>
    <row r="19" ht="6" customHeight="1"/>
    <row r="20" ht="14" customHeight="1">
      <c r="B20" s="226" t="inlineStr">
        <is>
          <t>SUBSCRIPTION SOLUTIONS REVENUE</t>
        </is>
      </c>
      <c r="C20" s="227" t="n"/>
      <c r="D20" s="227" t="n"/>
      <c r="E20" s="227" t="n"/>
      <c r="F20" s="228" t="inlineStr">
        <is>
          <t>$M</t>
        </is>
      </c>
      <c r="G20" s="229" t="n">
        <v>3305</v>
      </c>
      <c r="H20" s="229" t="n">
        <v>4023</v>
      </c>
      <c r="I20" s="230" t="n">
        <v>718</v>
      </c>
      <c r="J20" s="227" t="n"/>
      <c r="K20" s="227" t="n"/>
      <c r="L20" s="227" t="n"/>
      <c r="M20" s="227" t="n"/>
      <c r="N20" s="227" t="n"/>
    </row>
    <row r="21" ht="11" customHeight="1">
      <c r="B21" s="260" t="inlineStr">
        <is>
          <t xml:space="preserve">    MRR Build: Revenue = MRR × 13.8× (implied annual multiplier; model MRR × 12 + deferred revenue adj.)</t>
        </is>
      </c>
    </row>
    <row r="22" ht="14" customHeight="1">
      <c r="B22" s="241" t="inlineStr">
        <is>
          <t xml:space="preserve">        Plus / Enterprise MRR Growth</t>
        </is>
      </c>
      <c r="C22" s="244" t="inlineStr">
        <is>
          <t>Model</t>
        </is>
      </c>
      <c r="D22" s="243" t="inlineStr">
        <is>
          <t>Plus MRR ($M) — enterprise cohort (≥$25M GMV, fastest-growing Q1'26)</t>
        </is>
      </c>
      <c r="E22" s="244" t="inlineStr">
        <is>
          <t>$M MRR</t>
        </is>
      </c>
      <c r="F22" s="261" t="n">
        <v>69.7</v>
      </c>
      <c r="G22" s="261" t="n">
        <v>83.59999999999999</v>
      </c>
      <c r="H22" s="261" t="n">
        <v>114.5</v>
      </c>
      <c r="I22" s="261" t="n">
        <v>30.9</v>
      </c>
      <c r="J22" s="246" t="n">
        <v>426.942</v>
      </c>
      <c r="K22" s="247" t="n">
        <v>0.676</v>
      </c>
      <c r="L22" s="246" t="n">
        <v>288.617</v>
      </c>
      <c r="M22" s="246" t="n">
        <v>13997.943</v>
      </c>
      <c r="N22" s="248" t="n">
        <v>0.099</v>
      </c>
    </row>
    <row r="23" ht="14" customHeight="1">
      <c r="B23" s="233" t="inlineStr">
        <is>
          <t xml:space="preserve">        Core SMB MRR Growth</t>
        </is>
      </c>
      <c r="C23" s="236" t="inlineStr">
        <is>
          <t>Model</t>
        </is>
      </c>
      <c r="D23" s="235" t="inlineStr">
        <is>
          <t>Core MRR ($M) — basic/standard/advanced plan merchants</t>
        </is>
      </c>
      <c r="E23" s="236" t="inlineStr">
        <is>
          <t>$M MRR</t>
        </is>
      </c>
      <c r="F23" s="262" t="n">
        <v>135.3</v>
      </c>
      <c r="G23" s="262" t="n">
        <v>155.6</v>
      </c>
      <c r="H23" s="262" t="n">
        <v>176.4</v>
      </c>
      <c r="I23" s="262" t="n">
        <v>20.8</v>
      </c>
      <c r="J23" s="238" t="n">
        <v>287.391</v>
      </c>
      <c r="K23" s="239" t="n">
        <v>0.676</v>
      </c>
      <c r="L23" s="238" t="n">
        <v>194.28</v>
      </c>
      <c r="M23" s="238" t="n">
        <v>9422.564</v>
      </c>
      <c r="N23" s="240" t="n">
        <v>0.067</v>
      </c>
    </row>
    <row r="24" ht="15" customHeight="1">
      <c r="B24" s="251" t="inlineStr">
        <is>
          <t>TOTAL: Subscription Solutions Revenue</t>
        </is>
      </c>
      <c r="C24" s="254" t="inlineStr">
        <is>
          <t>Model</t>
        </is>
      </c>
      <c r="D24" s="253" t="inlineStr"/>
      <c r="E24" s="254" t="inlineStr">
        <is>
          <t>$M</t>
        </is>
      </c>
      <c r="F24" s="259" t="n"/>
      <c r="G24" s="259" t="n">
        <v>3305</v>
      </c>
      <c r="H24" s="259" t="n">
        <v>4023</v>
      </c>
      <c r="I24" s="259" t="n">
        <v>718</v>
      </c>
      <c r="J24" s="257" t="n">
        <v>718</v>
      </c>
      <c r="K24" s="255" t="n">
        <v>0.676</v>
      </c>
      <c r="L24" s="257" t="n">
        <v>485.376</v>
      </c>
      <c r="M24" s="257" t="n">
        <v>23540.729</v>
      </c>
      <c r="N24" s="258" t="n">
        <v>0.166</v>
      </c>
    </row>
    <row r="25" ht="6" customHeight="1"/>
    <row r="26" ht="16" customHeight="1">
      <c r="B26" s="263" t="inlineStr">
        <is>
          <t>TOTAL REVENUE GROWTH</t>
        </is>
      </c>
      <c r="C26" s="254" t="inlineStr">
        <is>
          <t>Model</t>
        </is>
      </c>
      <c r="D26" s="253" t="inlineStr"/>
      <c r="E26" s="254" t="inlineStr">
        <is>
          <t>$M</t>
        </is>
      </c>
      <c r="F26" s="259" t="n"/>
      <c r="G26" s="259" t="n">
        <v>14818</v>
      </c>
      <c r="H26" s="259" t="n">
        <v>22138</v>
      </c>
      <c r="I26" s="259" t="n">
        <v>7320</v>
      </c>
      <c r="J26" s="257" t="n">
        <v>7320</v>
      </c>
      <c r="K26" s="255" t="n">
        <v>0.259</v>
      </c>
      <c r="L26" s="257" t="n">
        <v>1897.649</v>
      </c>
      <c r="M26" s="257" t="n">
        <v>92035.997</v>
      </c>
      <c r="N26" s="258" t="n">
        <v>0.65</v>
      </c>
    </row>
    <row r="27" ht="8" customHeight="1"/>
    <row r="28" ht="16" customHeight="1">
      <c r="B28" s="222" t="inlineStr">
        <is>
          <t>VALUE CREATION BRIDGE  (Reconciliation: Revenue Drivers + Multiple Compression + Net Cash)</t>
        </is>
      </c>
      <c r="C28" s="223" t="n"/>
      <c r="D28" s="223" t="n"/>
      <c r="E28" s="223" t="n"/>
      <c r="F28" s="223" t="n"/>
      <c r="G28" s="223" t="n"/>
      <c r="H28" s="223" t="n"/>
      <c r="I28" s="223" t="n"/>
      <c r="J28" s="223" t="n"/>
      <c r="K28" s="223" t="n"/>
      <c r="L28" s="223" t="n"/>
      <c r="M28" s="223" t="n"/>
      <c r="N28" s="223" t="n"/>
    </row>
    <row r="29" ht="28" customHeight="1">
      <c r="B29" s="224" t="inlineStr">
        <is>
          <t>Bridge Component</t>
        </is>
      </c>
      <c r="C29" s="225" t="inlineStr"/>
      <c r="D29" s="225" t="inlineStr"/>
      <c r="E29" s="225" t="inlineStr"/>
      <c r="F29" s="225" t="inlineStr">
        <is>
          <t>FY2026E</t>
        </is>
      </c>
      <c r="G29" s="225" t="inlineStr"/>
      <c r="H29" s="225" t="inlineStr">
        <is>
          <t>FY2028E</t>
        </is>
      </c>
      <c r="I29" s="225" t="inlineStr"/>
      <c r="J29" s="225" t="inlineStr">
        <is>
          <t>EBITDA Effect ($M)</t>
        </is>
      </c>
      <c r="K29" s="225" t="inlineStr">
        <is>
          <t>×</t>
        </is>
      </c>
      <c r="L29" s="225" t="inlineStr">
        <is>
          <t>EV Impact ($M)</t>
        </is>
      </c>
      <c r="M29" s="225" t="inlineStr">
        <is>
          <t>MOIC Impact (×)</t>
        </is>
      </c>
    </row>
    <row r="30" ht="14" customHeight="1">
      <c r="B30" s="264" t="inlineStr">
        <is>
          <t>Revenue-Driven EBITDA Growth (×48.5 entry multiple)</t>
        </is>
      </c>
      <c r="C30" s="265" t="n"/>
      <c r="D30" s="265" t="n"/>
      <c r="E30" s="265" t="n"/>
      <c r="F30" s="265" t="n"/>
      <c r="G30" s="265" t="n"/>
      <c r="H30" s="265" t="n"/>
      <c r="I30" s="265" t="n"/>
      <c r="J30" s="266" t="n">
        <v>1897.649</v>
      </c>
      <c r="K30" s="267" t="n">
        <v>48.5</v>
      </c>
      <c r="L30" s="266" t="n">
        <v>92035.997</v>
      </c>
      <c r="N30" s="268" t="n">
        <v>0.65</v>
      </c>
    </row>
    <row r="31" ht="14" customHeight="1">
      <c r="B31" s="269" t="inlineStr">
        <is>
          <t>Multiple Compression (48.5× → 45.0×)  ×  Exit EBITDA $4,687M</t>
        </is>
      </c>
      <c r="C31" s="270" t="n"/>
      <c r="D31" s="270" t="n"/>
      <c r="E31" s="270" t="n"/>
      <c r="F31" s="270" t="n"/>
      <c r="G31" s="270" t="n"/>
      <c r="H31" s="270" t="n"/>
      <c r="I31" s="270" t="n"/>
      <c r="J31" s="271" t="n">
        <v>-16404.5</v>
      </c>
      <c r="K31" s="272" t="n">
        <v>1</v>
      </c>
      <c r="L31" s="271" t="n">
        <v>-16404.5</v>
      </c>
      <c r="N31" s="273" t="n">
        <v>-0.116</v>
      </c>
    </row>
    <row r="32" ht="14" customHeight="1">
      <c r="B32" s="274" t="inlineStr">
        <is>
          <t>Net Cash Build (Net Cash $6.3B → $12.4B)</t>
        </is>
      </c>
      <c r="C32" s="265" t="n"/>
      <c r="D32" s="265" t="n"/>
      <c r="E32" s="265" t="n"/>
      <c r="F32" s="265" t="n"/>
      <c r="G32" s="265" t="n"/>
      <c r="H32" s="265" t="n"/>
      <c r="I32" s="265" t="n"/>
      <c r="J32" s="275" t="n">
        <v>6115</v>
      </c>
      <c r="K32" s="276" t="n">
        <v>1</v>
      </c>
      <c r="L32" s="275" t="n">
        <v>6115</v>
      </c>
      <c r="N32" s="277" t="n">
        <v>0.043</v>
      </c>
    </row>
    <row r="33" ht="16" customHeight="1">
      <c r="B33" s="278" t="inlineStr">
        <is>
          <t>TOTAL VALUE CREATION (Entry Equity → Exit Proceeds)</t>
        </is>
      </c>
      <c r="C33" s="279" t="n"/>
      <c r="D33" s="279" t="n"/>
      <c r="E33" s="279" t="n"/>
      <c r="F33" s="279" t="n"/>
      <c r="G33" s="279" t="n"/>
      <c r="H33" s="279" t="n"/>
      <c r="I33" s="279" t="n"/>
      <c r="J33" s="280" t="n">
        <v>-14506.85</v>
      </c>
      <c r="K33" s="279" t="n"/>
      <c r="L33" s="280" t="n">
        <v>81746.5</v>
      </c>
      <c r="M33" s="279" t="n"/>
      <c r="N33" s="281" t="n">
        <v>0.58</v>
      </c>
    </row>
    <row r="34" ht="18" customHeight="1">
      <c r="B34" s="263" t="inlineStr">
        <is>
          <t>MOIC CHECK  (1.0× invested capital + attribution)</t>
        </is>
      </c>
      <c r="C34" s="282" t="n"/>
      <c r="D34" s="282" t="n"/>
      <c r="E34" s="282" t="n"/>
      <c r="F34" s="282" t="n"/>
      <c r="G34" s="282" t="n"/>
      <c r="H34" s="282" t="n"/>
      <c r="I34" s="282" t="n"/>
      <c r="J34" s="282" t="n"/>
      <c r="K34" s="282" t="n"/>
      <c r="L34" s="282" t="n"/>
      <c r="M34" s="282" t="n"/>
      <c r="N34" s="283" t="n">
        <v>1.577</v>
      </c>
    </row>
    <row r="36" ht="28" customHeight="1">
      <c r="B36" s="221" t="inlineStr">
        <is>
          <t>Assumptions: GMV sub-driver allocations (same-cohort 40%, new merchant 30%, geographic 20%, B2B/channel 10%) are analyst estimates based on IC Memo Pillars 1-2. GPV penetration revenue = IC Memo disclosure ($67M per 100bps at FY2025A GMV) scaled to exit GMV. Incr. EBITDA margins: Merchant ~21.4% (37.7% seg. GM − ~16.3% opex allocation), Sub ~67.6% (82.0% seg. GM − 14.4% opex). EV computed using entry multiple (48.5×) per Paasche decomposition; total value creation reconciles to INPUTS!C59.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K13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8" customWidth="1" min="2" max="2"/>
    <col width="28" customWidth="1" min="3" max="3"/>
    <col width="4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0" customWidth="1" min="10" max="10"/>
  </cols>
  <sheetData>
    <row r="1" ht="22" customHeight="1">
      <c r="B1" s="284" t="inlineStr">
        <is>
          <t>NTB REGISTRY  ·  SHOPIFY DEAL WORKBOOK</t>
        </is>
      </c>
    </row>
    <row r="2" ht="14" customHeight="1">
      <c r="B2" s="220" t="inlineStr">
        <is>
          <t>Investment thesis mapped to revenue drivers → EBITDA → EV → MOIC attribution. Base = model FY2028E. Upside = IC Memo bull case.</t>
        </is>
      </c>
    </row>
    <row r="3" ht="14" customHeight="1">
      <c r="B3" s="220" t="inlineStr">
        <is>
          <t>Source: IC Memo v2 Pillars 1-4 mapped to DRIVER TREE. Base EV uses Paasche decomposition (×48.5 entry multiple). Upside = analyst thesis above model.</t>
        </is>
      </c>
    </row>
    <row r="4" ht="6" customHeight="1"/>
    <row r="5" ht="16" customHeight="1">
      <c r="B5" s="222" t="inlineStr">
        <is>
          <t>NTB REGISTRY  —  THESIS TO VALUE ATTRIBUTION</t>
        </is>
      </c>
      <c r="C5" s="223" t="n"/>
      <c r="D5" s="223" t="n"/>
      <c r="E5" s="223" t="n"/>
      <c r="F5" s="223" t="n"/>
      <c r="G5" s="223" t="n"/>
      <c r="H5" s="223" t="n"/>
      <c r="I5" s="223" t="n"/>
      <c r="J5" s="223" t="n"/>
    </row>
    <row r="6" ht="32" customHeight="1">
      <c r="B6" s="285" t="inlineStr">
        <is>
          <t>NTB</t>
        </is>
      </c>
      <c r="C6" s="285" t="inlineStr">
        <is>
          <t>Theme</t>
        </is>
      </c>
      <c r="D6" s="286" t="inlineStr">
        <is>
          <t>Thesis Summary (Key Assumption vs. Consensus)</t>
        </is>
      </c>
      <c r="E6" s="286" t="inlineStr">
        <is>
          <t>Base EV
Impact ($M)</t>
        </is>
      </c>
      <c r="F6" s="286" t="inlineStr">
        <is>
          <t>Base MOIC
Delta (×)</t>
        </is>
      </c>
      <c r="G6" s="286" t="inlineStr">
        <is>
          <t>Upside EV
($M)</t>
        </is>
      </c>
      <c r="H6" s="286" t="inlineStr">
        <is>
          <t>Upside MOIC
(×)</t>
        </is>
      </c>
      <c r="I6" s="286" t="inlineStr">
        <is>
          <t>IC Memo Pillar</t>
        </is>
      </c>
      <c r="J6" s="286" t="inlineStr">
        <is>
          <t>Driver Tree Rows</t>
        </is>
      </c>
      <c r="K6" s="286" t="inlineStr">
        <is>
          <t>Rating / Status</t>
        </is>
      </c>
    </row>
    <row r="7" ht="85" customHeight="1">
      <c r="B7" s="287" t="inlineStr">
        <is>
          <t>NTB 1</t>
        </is>
      </c>
      <c r="C7" s="288" t="inlineStr">
        <is>
          <t>GMV Flywheel</t>
        </is>
      </c>
      <c r="D7" s="289" t="inlineStr">
        <is>
          <t>Thesis: Multiple independent GMV growth vectors (same-cohort expansion, new merchant acquisition, geographic expansion to 15 intl markets, B2B +80% YoY) sustain 20-22% GMV CAGR through FY2028E vs. consensus expectation of GMV deceleration driven by FX and tougher comps. Key: geographic and B2B channels reduce single-point-of-failure risk. [IC Memo: Pillar 1 — LOW evidence strength, THESIS-CRITICAL]</t>
        </is>
      </c>
      <c r="E7" s="290" t="n">
        <v>55427.927</v>
      </c>
      <c r="F7" s="291" t="n">
        <v>0.392</v>
      </c>
      <c r="G7" s="292" t="n">
        <v>72056.306</v>
      </c>
      <c r="H7" s="291" t="n">
        <v>0.509</v>
      </c>
      <c r="I7" s="293" t="inlineStr">
        <is>
          <t>Pillar 1</t>
        </is>
      </c>
      <c r="J7" s="294" t="inlineStr">
        <is>
          <t>Same-Cohort, New Merchant,
Geographic, B2B/Channel</t>
        </is>
      </c>
      <c r="K7" s="295" t="inlineStr">
        <is>
          <t>OPEN — thesis-critical</t>
        </is>
      </c>
    </row>
    <row r="8" ht="85" customHeight="1">
      <c r="B8" s="287" t="inlineStr">
        <is>
          <t>NTB 2</t>
        </is>
      </c>
      <c r="C8" s="296" t="inlineStr">
        <is>
          <t>Payments Monetization</t>
        </is>
      </c>
      <c r="D8" s="297" t="inlineStr">
        <is>
          <t>Thesis: GPV penetration grows 71% → 79% FY2026-28E driven by Shop Pay expansion on non-Shopify storefronts, checkout optimization, and merchant incentives. Each 100bps penetration = $124M incremental revenue at exit GMV ($699.6B). Model assumes 8pp penetration gain; consensus (sell-side avg) ~74% FY2028E implies 5pp below model — model is already thesis-aligned. Non-payments (MCA, Balance) add $268M incremental. [IC Memo: Pillar 2 — HIGH evidence strength, Payments thesis CONFIRMED]</t>
        </is>
      </c>
      <c r="E8" s="298" t="n">
        <v>13067.341</v>
      </c>
      <c r="F8" s="299" t="n">
        <v>0.092</v>
      </c>
      <c r="G8" s="300" t="n">
        <v>18294.277</v>
      </c>
      <c r="H8" s="299" t="n">
        <v>0.129</v>
      </c>
      <c r="I8" s="301" t="inlineStr">
        <is>
          <t>Pillar 2</t>
        </is>
      </c>
      <c r="J8" s="302" t="inlineStr">
        <is>
          <t>GPV Penetration,
Non-Payments Attach</t>
        </is>
      </c>
      <c r="K8" s="303" t="inlineStr">
        <is>
          <t>CONFIRMED — HIGH evidence</t>
        </is>
      </c>
    </row>
    <row r="9" ht="85" customHeight="1">
      <c r="B9" s="287" t="inlineStr">
        <is>
          <t>NTB 3</t>
        </is>
      </c>
      <c r="C9" s="288" t="inlineStr">
        <is>
          <t>AI Commerce Platform (Optionality)</t>
        </is>
      </c>
      <c r="D9" s="289" t="inlineStr">
        <is>
          <t>Thesis: Shopify's 20+ year proprietary commerce data creates a structural moat vs. general-purpose AI (2× conversion rate on AI-assisted orders vs. organic search Q1'26). AI revenue streams (Sidekick subscription, Usage-based Commerce Protocols) not yet in base model — pure optionality upside. No FY2028E base case contribution modeled. Upside scenario: $40B EV ($15B Sidekick + $25B UCP). [IC Memo: Pillar 3 — MEDIUM evidence strength, THESIS-CRITICAL for long-term]</t>
        </is>
      </c>
      <c r="E9" s="290" t="n">
        <v>0</v>
      </c>
      <c r="F9" s="304" t="n">
        <v>0</v>
      </c>
      <c r="G9" s="292" t="n">
        <v>40000</v>
      </c>
      <c r="H9" s="291" t="n">
        <v>0.283</v>
      </c>
      <c r="I9" s="293" t="inlineStr">
        <is>
          <t>Pillar 3</t>
        </is>
      </c>
      <c r="J9" s="294" t="inlineStr">
        <is>
          <t>AI Sidekick (C1),
AI UCP (C3) — upside only</t>
        </is>
      </c>
      <c r="K9" s="295" t="inlineStr">
        <is>
          <t>OPEN — hypothesis, not in model</t>
        </is>
      </c>
    </row>
    <row r="10" ht="85" customHeight="1">
      <c r="B10" s="287" t="inlineStr">
        <is>
          <t>NTB 4</t>
        </is>
      </c>
      <c r="C10" s="296" t="inlineStr">
        <is>
          <t>Enterprise Upmarket</t>
        </is>
      </c>
      <c r="D10" s="297" t="inlineStr">
        <is>
          <t>Thesis: $25M+ GMV cohort is fastest-growing segment Q1'26 with no SMB cannibalization. Plus MRR grows from $83.6M (FY2026E, 35% of MRR) to $114.5M (FY2028E, 39% of MRR) driving $427M incremental subscription revenue at ~82% gross margin. High-margin subscription mix shift benefits blended margins. Upside: Plus penetration accelerates to 45% of MRR ($137M) by FY2028E. [IC Memo: Pillar 4 — MEDIUM evidence strength, VALUATION OPTIONALITY]</t>
        </is>
      </c>
      <c r="E10" s="298" t="n">
        <v>23420.507</v>
      </c>
      <c r="F10" s="299" t="n">
        <v>0.165</v>
      </c>
      <c r="G10" s="300" t="n">
        <v>31617.684</v>
      </c>
      <c r="H10" s="299" t="n">
        <v>0.223</v>
      </c>
      <c r="I10" s="301" t="inlineStr">
        <is>
          <t>Pillar 4</t>
        </is>
      </c>
      <c r="J10" s="302" t="inlineStr">
        <is>
          <t>Plus/Enterprise MRR,
Core SMB MRR</t>
        </is>
      </c>
      <c r="K10" s="305" t="inlineStr">
        <is>
          <t>WATCH — valuation optionality</t>
        </is>
      </c>
    </row>
    <row r="11" ht="85" customHeight="1">
      <c r="B11" s="306" t="inlineStr">
        <is>
          <t>NTB 5</t>
        </is>
      </c>
      <c r="C11" s="307" t="inlineStr">
        <is>
          <t>Multiple Compression (Risk)</t>
        </is>
      </c>
      <c r="D11" s="289" t="inlineStr">
        <is>
          <t>Risk: Entry at 48.5× EV/EBITDA creates structural headwind. Exit at 45× already assumes compression. Each 1× turn of additional compression = $4,687M additional EV reduction = -0.033x MOIC drag. Downside scenario: exit at 40× → additional -$23.4B EV → MOIC = 1.41× (vs. 1.58× base). Offsetting factor: EBITDA growth nearly triples ($2.79B → $4.69B), supporting multiple. [Macro risk: consumer softness, tariff impact on SMB GMV]</t>
        </is>
      </c>
      <c r="E11" s="308" t="n">
        <v>-16404.5</v>
      </c>
      <c r="F11" s="304" t="n">
        <v>-0.116</v>
      </c>
      <c r="G11" s="308" t="n">
        <v>-8202.25</v>
      </c>
      <c r="H11" s="304" t="n">
        <v>-0.058</v>
      </c>
      <c r="I11" s="293" t="inlineStr">
        <is>
          <t>Macro / Risk</t>
        </is>
      </c>
      <c r="J11" s="294" t="inlineStr">
        <is>
          <t>Multiple Compression,
Macro Consumer Risk</t>
        </is>
      </c>
      <c r="K11" s="309" t="inlineStr">
        <is>
          <t>STRUCTURAL — mitigant: EBITDA growth</t>
        </is>
      </c>
    </row>
    <row r="12" ht="16" customHeight="1">
      <c r="B12" s="310" t="inlineStr">
        <is>
          <t>TOTAL</t>
        </is>
      </c>
      <c r="C12" s="263" t="inlineStr">
        <is>
          <t>Base + Multiple Compression + Net Cash</t>
        </is>
      </c>
      <c r="D12" s="282" t="n"/>
      <c r="E12" s="311" t="n">
        <v>81626.27</v>
      </c>
      <c r="F12" s="312" t="n">
        <v>0.58</v>
      </c>
      <c r="G12" s="282" t="n"/>
      <c r="H12" s="282" t="n"/>
      <c r="I12" s="282" t="n"/>
      <c r="J12" s="282" t="n"/>
    </row>
    <row r="13" ht="18" customHeight="1">
      <c r="B13" s="313" t="inlineStr">
        <is>
          <t>MOIC CHECK</t>
        </is>
      </c>
      <c r="C13" s="314">
        <f> 1.00× invested capital + total attribution (should = 1.58×)</f>
        <v/>
      </c>
      <c r="D13" s="279" t="n"/>
      <c r="E13" s="279" t="n"/>
      <c r="F13" s="315" t="n">
        <v>1.577</v>
      </c>
      <c r="G13" s="279" t="n"/>
      <c r="H13" s="279" t="n"/>
      <c r="I13" s="279" t="n"/>
      <c r="J13" s="27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2026-05-06T22:42:56Z</dcterms:created>
  <dcterms:modified xmlns:dcterms="http://purl.org/dc/terms/" xmlns:xsi="http://www.w3.org/2001/XMLSchema-instance" xsi:type="dcterms:W3CDTF">2026-05-07T13:02:41Z</dcterms:modified>
</cp:coreProperties>
</file>