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DRIVER TREE" sheetId="5" state="visible" r:id="rId5"/>
    <sheet xmlns:r="http://schemas.openxmlformats.org/officeDocument/2006/relationships" name="NTB REGISTRY" sheetId="6" state="visible" r:id="rId6"/>
    <sheet xmlns:r="http://schemas.openxmlformats.org/officeDocument/2006/relationships" name="KPI TREE" sheetId="7" state="visible" r:id="rId7"/>
    <sheet xmlns:r="http://schemas.openxmlformats.org/officeDocument/2006/relationships" name="MOIC BRI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0.0&quot;x&quot;;(0.0&quot;x&quot;);&quot;-&quot;"/>
    <numFmt numFmtId="167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</fills>
  <borders count="10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right/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3" fillId="4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8" borderId="8" applyAlignment="1" pivotButton="0" quotePrefix="0" xfId="0">
      <alignment horizontal="left" vertical="center" wrapText="1"/>
    </xf>
    <xf numFmtId="0" fontId="7" fillId="9" borderId="8" applyAlignment="1" pivotButton="0" quotePrefix="0" xfId="0">
      <alignment horizontal="left" vertical="center" wrapText="1"/>
    </xf>
    <xf numFmtId="0" fontId="7" fillId="10" borderId="8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49" fontId="6" fillId="7" borderId="8" applyAlignment="1" pivotButton="0" quotePrefix="0" xfId="0">
      <alignment horizontal="right" vertical="center"/>
    </xf>
    <xf numFmtId="164" fontId="6" fillId="7" borderId="8" applyAlignment="1" pivotButton="0" quotePrefix="0" xfId="0">
      <alignment horizontal="right" vertical="center"/>
    </xf>
    <xf numFmtId="165" fontId="6" fillId="7" borderId="8" applyAlignment="1" pivotButton="0" quotePrefix="0" xfId="0">
      <alignment horizontal="right" vertical="center"/>
    </xf>
    <xf numFmtId="166" fontId="6" fillId="7" borderId="8" applyAlignment="1" pivotButton="0" quotePrefix="0" xfId="0">
      <alignment horizontal="right" vertical="center"/>
    </xf>
    <xf numFmtId="164" fontId="7" fillId="0" borderId="8" applyAlignment="1" pivotButton="0" quotePrefix="0" xfId="0">
      <alignment horizontal="right" vertical="center"/>
    </xf>
    <xf numFmtId="166" fontId="7" fillId="0" borderId="8" applyAlignment="1" pivotButton="0" quotePrefix="0" xfId="0">
      <alignment horizontal="right" vertical="center"/>
    </xf>
    <xf numFmtId="167" fontId="7" fillId="0" borderId="8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9" fillId="11" borderId="8" applyAlignment="1" pivotButton="0" quotePrefix="0" xfId="0">
      <alignment horizontal="left" vertical="center" wrapText="1"/>
    </xf>
    <xf numFmtId="164" fontId="9" fillId="11" borderId="8" applyAlignment="1" pivotButton="0" quotePrefix="0" xfId="0">
      <alignment horizontal="right" vertical="center"/>
    </xf>
    <xf numFmtId="0" fontId="3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4" fontId="8" fillId="5" borderId="8" pivotButton="0" quotePrefix="0" xfId="0"/>
    <xf numFmtId="164" fontId="7" fillId="5" borderId="8" pivotButton="0" quotePrefix="0" xfId="0"/>
    <xf numFmtId="165" fontId="0" fillId="6" borderId="8" pivotButton="0" quotePrefix="0" xfId="0"/>
    <xf numFmtId="165" fontId="7" fillId="5" borderId="8" pivotButton="0" quotePrefix="0" xfId="0"/>
    <xf numFmtId="165" fontId="8" fillId="5" borderId="8" pivotButton="0" quotePrefix="0" xfId="0"/>
    <xf numFmtId="164" fontId="8" fillId="11" borderId="8" pivotButton="0" quotePrefix="0" xfId="0"/>
    <xf numFmtId="164" fontId="9" fillId="11" borderId="8" pivotButton="0" quotePrefix="0" xfId="0"/>
    <xf numFmtId="164" fontId="0" fillId="6" borderId="8" pivotButton="0" quotePrefix="0" xfId="0"/>
    <xf numFmtId="0" fontId="9" fillId="11" borderId="8" applyAlignment="1" pivotButton="0" quotePrefix="0" xfId="0">
      <alignment horizontal="center" vertical="center" wrapText="1"/>
    </xf>
    <xf numFmtId="0" fontId="5" fillId="11" borderId="8" applyAlignment="1" pivotButton="0" quotePrefix="0" xfId="0">
      <alignment horizontal="center" vertical="center" wrapText="1"/>
    </xf>
    <xf numFmtId="49" fontId="6" fillId="11" borderId="8" applyAlignment="1" pivotButton="0" quotePrefix="0" xfId="0">
      <alignment horizontal="right" vertical="center"/>
    </xf>
    <xf numFmtId="0" fontId="7" fillId="6" borderId="8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center" vertical="center" wrapText="1"/>
    </xf>
    <xf numFmtId="49" fontId="6" fillId="9" borderId="8" applyAlignment="1" pivotButton="0" quotePrefix="0" xfId="0">
      <alignment horizontal="right" vertical="center"/>
    </xf>
    <xf numFmtId="0" fontId="7" fillId="5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49" fontId="6" fillId="5" borderId="8" applyAlignment="1" pivotButton="0" quotePrefix="0" xfId="0">
      <alignment horizontal="right" vertical="center"/>
    </xf>
    <xf numFmtId="0" fontId="0" fillId="11" borderId="8" pivotButton="0" quotePrefix="0" xfId="0"/>
    <xf numFmtId="166" fontId="9" fillId="11" borderId="8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6" fontId="9" fillId="0" borderId="8" applyAlignment="1" pivotButton="0" quotePrefix="0" xfId="0">
      <alignment horizontal="right" vertical="center"/>
    </xf>
    <xf numFmtId="49" fontId="7" fillId="0" borderId="8" applyAlignment="1" pivotButton="0" quotePrefix="0" xfId="0">
      <alignment horizontal="right" vertical="center"/>
    </xf>
    <xf numFmtId="49" fontId="8" fillId="6" borderId="8" applyAlignment="1" pivotButton="0" quotePrefix="0" xfId="0">
      <alignment horizontal="right" vertical="center"/>
    </xf>
    <xf numFmtId="49" fontId="8" fillId="5" borderId="8" applyAlignment="1" pivotButton="0" quotePrefix="0" xfId="0">
      <alignment horizontal="right" vertical="center"/>
    </xf>
    <xf numFmtId="0" fontId="5" fillId="11" borderId="8" applyAlignment="1" pivotButton="0" quotePrefix="0" xfId="0">
      <alignment horizontal="left" vertical="center" wrapText="1"/>
    </xf>
    <xf numFmtId="165" fontId="7" fillId="0" borderId="8" applyAlignment="1" pivotButton="0" quotePrefix="0" xfId="0">
      <alignment horizontal="right" vertical="center"/>
    </xf>
    <xf numFmtId="0" fontId="9" fillId="6" borderId="8" applyAlignment="1" pivotButton="0" quotePrefix="0" xfId="0">
      <alignment horizontal="left" vertical="center" wrapText="1"/>
    </xf>
    <xf numFmtId="0" fontId="9" fillId="5" borderId="8" applyAlignment="1" pivotButton="0" quotePrefix="0" xfId="0">
      <alignment horizontal="left" vertical="center" wrapText="1"/>
    </xf>
    <xf numFmtId="164" fontId="8" fillId="0" borderId="8" applyAlignment="1" pivotButton="0" quotePrefix="0" xfId="0">
      <alignment horizontal="right" vertical="center"/>
    </xf>
    <xf numFmtId="166" fontId="8" fillId="0" borderId="8" applyAlignment="1" pivotButton="0" quotePrefix="0" xfId="0">
      <alignment horizontal="right" vertical="center"/>
    </xf>
    <xf numFmtId="164" fontId="8" fillId="11" borderId="8" applyAlignment="1" pivotButton="0" quotePrefix="0" xfId="0">
      <alignment horizontal="right" vertical="center"/>
    </xf>
    <xf numFmtId="0" fontId="2" fillId="3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761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40" customWidth="1" min="4" max="4"/>
    <col width="3" customWidth="1" min="5" max="5"/>
  </cols>
  <sheetData>
    <row r="1" ht="10" customHeight="1"/>
    <row r="2" ht="50" customHeight="1">
      <c r="B2" s="1" t="inlineStr">
        <is>
          <t>Deal Intelligence Workbook</t>
        </is>
      </c>
      <c r="C2" s="2" t="n"/>
      <c r="D2" s="3" t="n"/>
    </row>
    <row r="3" ht="30" customHeight="1"/>
    <row r="4">
      <c r="B4" s="65" t="inlineStr">
        <is>
          <t>Workbook Navigation</t>
        </is>
      </c>
      <c r="C4" s="5" t="n"/>
      <c r="D4" s="5" t="n"/>
    </row>
    <row r="5">
      <c r="B5" s="6" t="inlineStr">
        <is>
          <t>Tab</t>
        </is>
      </c>
      <c r="C5" s="6" t="inlineStr">
        <is>
          <t>Purpose</t>
        </is>
      </c>
      <c r="D5" s="6" t="inlineStr">
        <is>
          <t>Key Inputs</t>
        </is>
      </c>
    </row>
    <row r="6">
      <c r="B6" s="7" t="inlineStr">
        <is>
          <t>INPUTS</t>
        </is>
      </c>
      <c r="C6" s="8" t="inlineStr">
        <is>
          <t>Deal assumptions, entry/exit, thesis, NTB names</t>
        </is>
      </c>
      <c r="D6" s="8" t="inlineStr">
        <is>
          <t>Company, thesis, entry/exit multiples</t>
        </is>
      </c>
    </row>
    <row r="7">
      <c r="B7" s="9" t="inlineStr">
        <is>
          <t>FINANCIALS</t>
        </is>
      </c>
      <c r="C7" s="10" t="inlineStr">
        <is>
          <t>Raw P&amp;L paste-in area — historical data</t>
        </is>
      </c>
      <c r="D7" s="10" t="inlineStr">
        <is>
          <t>Paste actuals here; model pulls from this tab</t>
        </is>
      </c>
    </row>
    <row r="8">
      <c r="B8" s="7" t="inlineStr">
        <is>
          <t>FINANCIAL MODEL</t>
        </is>
      </c>
      <c r="C8" s="8" t="inlineStr">
        <is>
          <t>Operating model — historical + 5yr projections</t>
        </is>
      </c>
      <c r="D8" s="8" t="inlineStr">
        <is>
          <t>Projection assumptions (growth, margins)</t>
        </is>
      </c>
    </row>
    <row r="9">
      <c r="B9" s="9" t="inlineStr">
        <is>
          <t>DRIVER TREE</t>
        </is>
      </c>
      <c r="C9" s="10" t="inlineStr">
        <is>
          <t>Thesis decomposition → MOIC by value driver</t>
        </is>
      </c>
      <c r="D9" s="10" t="inlineStr">
        <is>
          <t>Upside estimates per driver; NTB linkage</t>
        </is>
      </c>
    </row>
    <row r="10">
      <c r="B10" s="7" t="inlineStr">
        <is>
          <t>NTB REGISTRY</t>
        </is>
      </c>
      <c r="C10" s="8" t="inlineStr">
        <is>
          <t>NTB diligence tracker — evidence &amp; MOIC</t>
        </is>
      </c>
      <c r="D10" s="8" t="inlineStr">
        <is>
          <t>Evidence status, MOIC impact, gaps</t>
        </is>
      </c>
    </row>
    <row r="11">
      <c r="B11" s="9" t="inlineStr">
        <is>
          <t>KPI TREE</t>
        </is>
      </c>
      <c r="C11" s="10" t="inlineStr">
        <is>
          <t>KPI hierarchy mapped to financial model</t>
        </is>
      </c>
      <c r="D11" s="10" t="inlineStr">
        <is>
          <t>Budget vs. actual; management plan audit</t>
        </is>
      </c>
    </row>
    <row r="12">
      <c r="B12" s="7" t="inlineStr">
        <is>
          <t>MOIC BRIDGE</t>
        </is>
      </c>
      <c r="C12" s="8" t="inlineStr">
        <is>
          <t>MOIC waterfall — entry to exit by NTB contribution</t>
        </is>
      </c>
      <c r="D12" s="8" t="inlineStr">
        <is>
          <t>Pulls from NTB Registry and INPUTS</t>
        </is>
      </c>
    </row>
    <row r="13"/>
    <row r="14">
      <c r="B14" s="65" t="inlineStr">
        <is>
          <t>Color Coding</t>
        </is>
      </c>
      <c r="C14" s="5" t="n"/>
      <c r="D14" s="5" t="n"/>
    </row>
    <row r="15">
      <c r="B15" s="6" t="inlineStr">
        <is>
          <t>Color</t>
        </is>
      </c>
      <c r="C15" s="6" t="inlineStr">
        <is>
          <t>Meaning</t>
        </is>
      </c>
      <c r="D15" s="6" t="inlineStr">
        <is>
          <t>Action required</t>
        </is>
      </c>
    </row>
    <row r="16">
      <c r="B16" s="11" t="inlineStr">
        <is>
          <t>BLUE text on YELLOW</t>
        </is>
      </c>
      <c r="C16" s="11" t="inlineStr">
        <is>
          <t>BLUE text on YELLOW</t>
        </is>
      </c>
      <c r="D16" s="8" t="inlineStr">
        <is>
          <t>Hardcoded input — change for your deal</t>
        </is>
      </c>
    </row>
    <row r="17">
      <c r="B17" s="12" t="inlineStr">
        <is>
          <t>BLACK text</t>
        </is>
      </c>
      <c r="C17" s="12" t="inlineStr">
        <is>
          <t>BLACK text</t>
        </is>
      </c>
      <c r="D17" s="10" t="inlineStr">
        <is>
          <t>Formula — do not overwrite</t>
        </is>
      </c>
    </row>
    <row r="18">
      <c r="B18" s="13" t="inlineStr">
        <is>
          <t>GREEN text</t>
        </is>
      </c>
      <c r="C18" s="13" t="inlineStr">
        <is>
          <t>GREEN text</t>
        </is>
      </c>
      <c r="D18" s="8" t="inlineStr">
        <is>
          <t>Links from another tab — do not overwrite</t>
        </is>
      </c>
    </row>
    <row r="19">
      <c r="B19" s="14" t="inlineStr">
        <is>
          <t>Green background</t>
        </is>
      </c>
      <c r="C19" s="14" t="inlineStr">
        <is>
          <t>Green background</t>
        </is>
      </c>
      <c r="D19" s="10" t="inlineStr">
        <is>
          <t>Confirmed / PASS status</t>
        </is>
      </c>
    </row>
    <row r="20">
      <c r="B20" s="15" t="inlineStr">
        <is>
          <t>Orange background</t>
        </is>
      </c>
      <c r="C20" s="15" t="inlineStr">
        <is>
          <t>Orange background</t>
        </is>
      </c>
      <c r="D20" s="8" t="inlineStr">
        <is>
          <t>Partial / needs attention</t>
        </is>
      </c>
    </row>
    <row r="21">
      <c r="B21" s="16" t="inlineStr">
        <is>
          <t>Red background</t>
        </is>
      </c>
      <c r="C21" s="16" t="inlineStr">
        <is>
          <t>Red background</t>
        </is>
      </c>
      <c r="D21" s="10" t="inlineStr">
        <is>
          <t>Gap / CRITICAL — needs resolution</t>
        </is>
      </c>
    </row>
  </sheetData>
  <mergeCells count="3">
    <mergeCell ref="B14:D14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8" customWidth="1" min="4" max="4"/>
    <col width="3" customWidth="1" min="5" max="5"/>
  </cols>
  <sheetData>
    <row r="1"/>
    <row r="2">
      <c r="B2" s="1" t="inlineStr">
        <is>
          <t>Deal Inputs</t>
        </is>
      </c>
      <c r="C2" s="3" t="n"/>
    </row>
    <row r="3"/>
    <row r="4">
      <c r="B4" s="65" t="inlineStr">
        <is>
          <t>Company &amp; Deal</t>
        </is>
      </c>
      <c r="C4" s="5" t="n"/>
    </row>
    <row r="5">
      <c r="B5" s="6" t="inlineStr">
        <is>
          <t>Field</t>
        </is>
      </c>
      <c r="C5" s="6" t="inlineStr">
        <is>
          <t>Value</t>
        </is>
      </c>
    </row>
    <row r="6">
      <c r="B6" s="17" t="inlineStr">
        <is>
          <t>Company Name</t>
        </is>
      </c>
      <c r="C6" s="18" t="inlineStr"/>
    </row>
    <row r="7">
      <c r="B7" s="17" t="inlineStr">
        <is>
          <t>Deal Type</t>
        </is>
      </c>
      <c r="C7" s="18" t="inlineStr"/>
    </row>
    <row r="8">
      <c r="B8" s="17" t="inlineStr">
        <is>
          <t>Sector</t>
        </is>
      </c>
      <c r="C8" s="18" t="inlineStr"/>
    </row>
    <row r="9">
      <c r="B9" s="17" t="inlineStr">
        <is>
          <t>Investment Thesis (one sentence)</t>
        </is>
      </c>
      <c r="C9" s="18" t="inlineStr"/>
    </row>
    <row r="10">
      <c r="B10" s="17" t="inlineStr">
        <is>
          <t>Entry Year</t>
        </is>
      </c>
      <c r="C10" s="18" t="inlineStr"/>
    </row>
    <row r="11">
      <c r="B11" s="17" t="inlineStr">
        <is>
          <t>Exit Year (projected)</t>
        </is>
      </c>
      <c r="C11" s="18" t="inlineStr"/>
    </row>
    <row r="12"/>
    <row r="13">
      <c r="B13" s="65" t="inlineStr">
        <is>
          <t>Entry Assumptions</t>
        </is>
      </c>
      <c r="C13" s="5" t="n"/>
    </row>
    <row r="14">
      <c r="B14" s="6" t="inlineStr">
        <is>
          <t>Metric ($M unless noted)</t>
        </is>
      </c>
      <c r="C14" s="6" t="inlineStr">
        <is>
          <t>Value</t>
        </is>
      </c>
    </row>
    <row r="15">
      <c r="B15" s="17" t="inlineStr">
        <is>
          <t>Entry Revenue ($M)</t>
        </is>
      </c>
      <c r="C15" s="19" t="n"/>
    </row>
    <row r="16">
      <c r="B16" s="17" t="inlineStr">
        <is>
          <t>Entry EBITDA ($M)</t>
        </is>
      </c>
      <c r="C16" s="19" t="n"/>
    </row>
    <row r="17">
      <c r="B17" s="17" t="inlineStr">
        <is>
          <t>Entry EBITDA Margin</t>
        </is>
      </c>
      <c r="C17" s="20" t="n"/>
    </row>
    <row r="18">
      <c r="B18" s="17" t="inlineStr">
        <is>
          <t>Entry EV/EBITDA Multiple</t>
        </is>
      </c>
      <c r="C18" s="21" t="n"/>
    </row>
    <row r="19">
      <c r="B19" s="17" t="inlineStr">
        <is>
          <t>Entry EV ($M)</t>
        </is>
      </c>
      <c r="C19" s="22">
        <f>INPUTS!B13*INPUTS!B16</f>
        <v/>
      </c>
    </row>
    <row r="20">
      <c r="B20" s="17" t="inlineStr">
        <is>
          <t>Net Debt at Entry ($M)</t>
        </is>
      </c>
      <c r="C20" s="19" t="n"/>
    </row>
    <row r="21">
      <c r="B21" s="17" t="inlineStr">
        <is>
          <t>Equity Invested ($M)</t>
        </is>
      </c>
      <c r="C21" s="22">
        <f>INPUTS!B20-INPUTS!B21</f>
        <v/>
      </c>
    </row>
    <row r="22"/>
    <row r="23">
      <c r="B23" s="65" t="inlineStr">
        <is>
          <t>Exit Assumptions</t>
        </is>
      </c>
      <c r="C23" s="5" t="n"/>
    </row>
    <row r="24">
      <c r="B24" s="6" t="inlineStr">
        <is>
          <t>Metric</t>
        </is>
      </c>
      <c r="C24" s="6" t="inlineStr">
        <is>
          <t>Value</t>
        </is>
      </c>
    </row>
    <row r="25">
      <c r="B25" s="17" t="inlineStr">
        <is>
          <t>Exit Revenue ($M)</t>
        </is>
      </c>
      <c r="C25" s="19" t="n"/>
    </row>
    <row r="26">
      <c r="B26" s="17" t="inlineStr">
        <is>
          <t>Exit EBITDA ($M)</t>
        </is>
      </c>
      <c r="C26" s="19" t="n"/>
    </row>
    <row r="27">
      <c r="B27" s="17" t="inlineStr">
        <is>
          <t>Exit EV/EBITDA Multiple</t>
        </is>
      </c>
      <c r="C27" s="21" t="n"/>
    </row>
    <row r="28">
      <c r="B28" s="17" t="inlineStr">
        <is>
          <t>Exit EV ($M)</t>
        </is>
      </c>
      <c r="C28" s="19" t="n"/>
    </row>
    <row r="29">
      <c r="B29" s="17" t="inlineStr">
        <is>
          <t>Net Debt at Exit ($M)</t>
        </is>
      </c>
      <c r="C29" s="19" t="n"/>
    </row>
    <row r="30">
      <c r="B30" s="17" t="inlineStr">
        <is>
          <t>Proceeds to Equity ($M)</t>
        </is>
      </c>
      <c r="C30" s="19" t="n"/>
    </row>
    <row r="31"/>
    <row r="32">
      <c r="B32" s="65" t="inlineStr">
        <is>
          <t>Returns Summary</t>
        </is>
      </c>
      <c r="C32" s="5" t="n"/>
    </row>
    <row r="33">
      <c r="B33" s="6" t="inlineStr">
        <is>
          <t>Metric</t>
        </is>
      </c>
      <c r="C33" s="6" t="inlineStr">
        <is>
          <t>Value</t>
        </is>
      </c>
    </row>
    <row r="34">
      <c r="B34" s="17" t="inlineStr">
        <is>
          <t>Gross MOIC</t>
        </is>
      </c>
      <c r="C34" s="23">
        <f>IFERROR(INPUTS!B36/INPUTS!B22,"-")</f>
        <v/>
      </c>
    </row>
    <row r="35">
      <c r="B35" s="17" t="inlineStr">
        <is>
          <t>Holding Period (Years)</t>
        </is>
      </c>
      <c r="C35" s="24">
        <f>IFERROR(INPUTS!B6-INPUTS!B5,"-")</f>
        <v/>
      </c>
    </row>
    <row r="36"/>
    <row r="37">
      <c r="B37" s="65" t="inlineStr">
        <is>
          <t>NTB Registry — Names</t>
        </is>
      </c>
      <c r="C37" s="5" t="n"/>
    </row>
    <row r="38">
      <c r="B38" s="25" t="inlineStr">
        <is>
          <t>Define your 5-7 Need-to-Believes here. Referenced across all tabs.</t>
        </is>
      </c>
    </row>
    <row r="39">
      <c r="B39" s="6" t="inlineStr">
        <is>
          <t>NTB #</t>
        </is>
      </c>
      <c r="C39" s="6" t="inlineStr">
        <is>
          <t>NTB Statement</t>
        </is>
      </c>
    </row>
    <row r="40">
      <c r="B40" s="26" t="inlineStr">
        <is>
          <t>NTB 1</t>
        </is>
      </c>
      <c r="C40" s="18" t="inlineStr"/>
    </row>
    <row r="41">
      <c r="B41" s="27" t="inlineStr">
        <is>
          <t>NTB 2</t>
        </is>
      </c>
      <c r="C41" s="18" t="inlineStr"/>
    </row>
    <row r="42">
      <c r="B42" s="26" t="inlineStr">
        <is>
          <t>NTB 3</t>
        </is>
      </c>
      <c r="C42" s="18" t="inlineStr"/>
    </row>
    <row r="43">
      <c r="B43" s="27" t="inlineStr">
        <is>
          <t>NTB 4</t>
        </is>
      </c>
      <c r="C43" s="18" t="inlineStr"/>
    </row>
    <row r="44">
      <c r="B44" s="26" t="inlineStr">
        <is>
          <t>NTB 5</t>
        </is>
      </c>
      <c r="C44" s="18" t="inlineStr"/>
    </row>
    <row r="45">
      <c r="B45" s="27" t="inlineStr">
        <is>
          <t>NTB 6</t>
        </is>
      </c>
      <c r="C45" s="18" t="inlineStr"/>
    </row>
    <row r="46">
      <c r="B46" s="26" t="inlineStr">
        <is>
          <t>NTB 7</t>
        </is>
      </c>
      <c r="C46" s="18" t="inlineStr"/>
    </row>
  </sheetData>
  <mergeCells count="7">
    <mergeCell ref="B13:C13"/>
    <mergeCell ref="B38:C38"/>
    <mergeCell ref="B2:C2"/>
    <mergeCell ref="B37:C37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/>
    <row r="2">
      <c r="B2" s="1" t="inlineStr">
        <is>
          <t>Historical Financials — Paste Input Area</t>
        </is>
      </c>
      <c r="C2" s="2" t="n"/>
      <c r="D2" s="2" t="n"/>
      <c r="E2" s="2" t="n"/>
      <c r="F2" s="3" t="n"/>
    </row>
    <row r="3"/>
    <row r="4">
      <c r="B4" s="25" t="inlineStr">
        <is>
          <t>Paste your actuals here. Financial Model tab pulls from this sheet. Units: $M unless noted.</t>
        </is>
      </c>
    </row>
    <row r="5"/>
    <row r="6">
      <c r="B6" s="6" t="inlineStr">
        <is>
          <t>Line Item</t>
        </is>
      </c>
      <c r="C6" s="6" t="inlineStr">
        <is>
          <t>FY-3</t>
        </is>
      </c>
      <c r="D6" s="6" t="inlineStr">
        <is>
          <t>FY-2</t>
        </is>
      </c>
      <c r="E6" s="6" t="inlineStr">
        <is>
          <t>FY-1</t>
        </is>
      </c>
      <c r="F6" s="6" t="inlineStr">
        <is>
          <t>FY0</t>
        </is>
      </c>
      <c r="G6" s="6" t="inlineStr">
        <is>
          <t>Notes / Source</t>
        </is>
      </c>
    </row>
    <row r="7">
      <c r="B7" s="65" t="inlineStr">
        <is>
          <t>INCOME STATEMENT</t>
        </is>
      </c>
      <c r="C7" s="5" t="n"/>
      <c r="D7" s="5" t="n"/>
      <c r="E7" s="5" t="n"/>
      <c r="F7" s="5" t="n"/>
    </row>
    <row r="8">
      <c r="B8" s="12" t="inlineStr">
        <is>
          <t>Revenue ($M)</t>
        </is>
      </c>
      <c r="C8" s="19" t="n"/>
      <c r="D8" s="19" t="n"/>
      <c r="E8" s="19" t="n"/>
      <c r="F8" s="19" t="n"/>
      <c r="G8" s="28" t="inlineStr"/>
    </row>
    <row r="9">
      <c r="B9" s="12" t="inlineStr">
        <is>
          <t xml:space="preserve">  YoY Growth %</t>
        </is>
      </c>
      <c r="C9" s="20" t="n"/>
      <c r="D9" s="20" t="n"/>
      <c r="E9" s="20" t="n"/>
      <c r="F9" s="20" t="n"/>
      <c r="G9" s="28" t="inlineStr"/>
    </row>
    <row r="10">
      <c r="B10" s="12" t="inlineStr">
        <is>
          <t>Cost of Revenue ($M)</t>
        </is>
      </c>
      <c r="C10" s="19" t="n"/>
      <c r="D10" s="19" t="n"/>
      <c r="E10" s="19" t="n"/>
      <c r="F10" s="19" t="n"/>
      <c r="G10" s="28" t="inlineStr"/>
    </row>
    <row r="11">
      <c r="B11" s="12" t="inlineStr">
        <is>
          <t>Gross Profit ($M)</t>
        </is>
      </c>
      <c r="C11" s="19" t="n"/>
      <c r="D11" s="19" t="n"/>
      <c r="E11" s="19" t="n"/>
      <c r="F11" s="19" t="n"/>
      <c r="G11" s="28" t="inlineStr"/>
    </row>
    <row r="12">
      <c r="B12" s="12" t="inlineStr">
        <is>
          <t xml:space="preserve">  Gross Margin %</t>
        </is>
      </c>
      <c r="C12" s="20" t="n"/>
      <c r="D12" s="20" t="n"/>
      <c r="E12" s="20" t="n"/>
      <c r="F12" s="20" t="n"/>
      <c r="G12" s="28" t="inlineStr"/>
    </row>
    <row r="13">
      <c r="B13" s="12" t="inlineStr">
        <is>
          <t xml:space="preserve">  Sales &amp; Marketing ($M)</t>
        </is>
      </c>
      <c r="C13" s="19" t="n"/>
      <c r="D13" s="19" t="n"/>
      <c r="E13" s="19" t="n"/>
      <c r="F13" s="19" t="n"/>
      <c r="G13" s="28" t="inlineStr"/>
    </row>
    <row r="14">
      <c r="B14" s="12" t="inlineStr">
        <is>
          <t xml:space="preserve">  Research &amp; Development ($M)</t>
        </is>
      </c>
      <c r="C14" s="19" t="n"/>
      <c r="D14" s="19" t="n"/>
      <c r="E14" s="19" t="n"/>
      <c r="F14" s="19" t="n"/>
      <c r="G14" s="28" t="inlineStr"/>
    </row>
    <row r="15">
      <c r="B15" s="12" t="inlineStr">
        <is>
          <t xml:space="preserve">  General &amp; Administrative ($M)</t>
        </is>
      </c>
      <c r="C15" s="19" t="n"/>
      <c r="D15" s="19" t="n"/>
      <c r="E15" s="19" t="n"/>
      <c r="F15" s="19" t="n"/>
      <c r="G15" s="28" t="inlineStr"/>
    </row>
    <row r="16">
      <c r="B16" s="29" t="inlineStr">
        <is>
          <t>Total Operating Expenses ($M)</t>
        </is>
      </c>
      <c r="C16" s="30" t="n"/>
      <c r="D16" s="30" t="n"/>
      <c r="E16" s="30" t="n"/>
      <c r="F16" s="30" t="n"/>
      <c r="G16" s="28" t="inlineStr"/>
    </row>
    <row r="17">
      <c r="B17" s="29" t="inlineStr">
        <is>
          <t>EBITDA ($M)</t>
        </is>
      </c>
      <c r="C17" s="30" t="n"/>
      <c r="D17" s="30" t="n"/>
      <c r="E17" s="30" t="n"/>
      <c r="F17" s="30" t="n"/>
      <c r="G17" s="28" t="inlineStr"/>
    </row>
    <row r="18">
      <c r="B18" s="12" t="inlineStr">
        <is>
          <t xml:space="preserve">  EBITDA Margin %</t>
        </is>
      </c>
      <c r="C18" s="20" t="n"/>
      <c r="D18" s="20" t="n"/>
      <c r="E18" s="20" t="n"/>
      <c r="F18" s="20" t="n"/>
      <c r="G18" s="28" t="inlineStr"/>
    </row>
    <row r="19">
      <c r="B19" s="29" t="inlineStr">
        <is>
          <t>D&amp;A ($M)</t>
        </is>
      </c>
      <c r="C19" s="30" t="n"/>
      <c r="D19" s="30" t="n"/>
      <c r="E19" s="30" t="n"/>
      <c r="F19" s="30" t="n"/>
      <c r="G19" s="28" t="inlineStr"/>
    </row>
    <row r="20">
      <c r="B20" s="29" t="inlineStr">
        <is>
          <t>EBIT ($M)</t>
        </is>
      </c>
      <c r="C20" s="30" t="n"/>
      <c r="D20" s="30" t="n"/>
      <c r="E20" s="30" t="n"/>
      <c r="F20" s="30" t="n"/>
      <c r="G20" s="28" t="inlineStr"/>
    </row>
    <row r="21">
      <c r="B21" s="12" t="inlineStr">
        <is>
          <t>Interest Expense ($M)</t>
        </is>
      </c>
      <c r="C21" s="19" t="n"/>
      <c r="D21" s="19" t="n"/>
      <c r="E21" s="19" t="n"/>
      <c r="F21" s="19" t="n"/>
      <c r="G21" s="28" t="inlineStr"/>
    </row>
    <row r="22">
      <c r="B22" s="29" t="inlineStr">
        <is>
          <t>EBT ($M)</t>
        </is>
      </c>
      <c r="C22" s="30" t="n"/>
      <c r="D22" s="30" t="n"/>
      <c r="E22" s="30" t="n"/>
      <c r="F22" s="30" t="n"/>
      <c r="G22" s="28" t="inlineStr"/>
    </row>
    <row r="23">
      <c r="B23" s="12" t="inlineStr">
        <is>
          <t>Tax ($M)</t>
        </is>
      </c>
      <c r="C23" s="19" t="n"/>
      <c r="D23" s="19" t="n"/>
      <c r="E23" s="19" t="n"/>
      <c r="F23" s="19" t="n"/>
      <c r="G23" s="28" t="inlineStr"/>
    </row>
    <row r="24">
      <c r="B24" s="12" t="inlineStr">
        <is>
          <t>Net Income ($M)</t>
        </is>
      </c>
      <c r="C24" s="19" t="n"/>
      <c r="D24" s="19" t="n"/>
      <c r="E24" s="19" t="n"/>
      <c r="F24" s="19" t="n"/>
      <c r="G24" s="28" t="inlineStr"/>
    </row>
    <row r="25"/>
    <row r="26">
      <c r="B26" s="65" t="inlineStr">
        <is>
          <t>BALANCE SHEET (KEY ITEMS)</t>
        </is>
      </c>
      <c r="C26" s="5" t="n"/>
      <c r="D26" s="5" t="n"/>
      <c r="E26" s="5" t="n"/>
      <c r="F26" s="5" t="n"/>
    </row>
    <row r="27">
      <c r="B27" s="12" t="inlineStr">
        <is>
          <t>Cash ($M)</t>
        </is>
      </c>
      <c r="C27" s="19" t="n"/>
      <c r="D27" s="19" t="n"/>
      <c r="E27" s="19" t="n"/>
      <c r="F27" s="19" t="n"/>
      <c r="G27" s="28" t="inlineStr"/>
    </row>
    <row r="28">
      <c r="B28" s="29" t="inlineStr">
        <is>
          <t>Total Debt ($M)</t>
        </is>
      </c>
      <c r="C28" s="30" t="n"/>
      <c r="D28" s="30" t="n"/>
      <c r="E28" s="30" t="n"/>
      <c r="F28" s="30" t="n"/>
      <c r="G28" s="28" t="inlineStr"/>
    </row>
    <row r="29">
      <c r="B29" s="12" t="inlineStr">
        <is>
          <t>Net Debt ($M)</t>
        </is>
      </c>
      <c r="C29" s="19" t="n"/>
      <c r="D29" s="19" t="n"/>
      <c r="E29" s="19" t="n"/>
      <c r="F29" s="19" t="n"/>
      <c r="G29" s="28" t="inlineStr"/>
    </row>
    <row r="30">
      <c r="B30" s="29" t="inlineStr">
        <is>
          <t>Total Assets ($M)</t>
        </is>
      </c>
      <c r="C30" s="30" t="n"/>
      <c r="D30" s="30" t="n"/>
      <c r="E30" s="30" t="n"/>
      <c r="F30" s="30" t="n"/>
      <c r="G30" s="28" t="inlineStr"/>
    </row>
    <row r="31"/>
    <row r="32">
      <c r="B32" s="65" t="inlineStr">
        <is>
          <t>CASH FLOW (KEY ITEMS)</t>
        </is>
      </c>
      <c r="C32" s="5" t="n"/>
      <c r="D32" s="5" t="n"/>
      <c r="E32" s="5" t="n"/>
      <c r="F32" s="5" t="n"/>
    </row>
    <row r="33">
      <c r="B33" s="12" t="inlineStr">
        <is>
          <t>Operating Cash Flow ($M)</t>
        </is>
      </c>
      <c r="C33" s="19" t="n"/>
      <c r="D33" s="19" t="n"/>
      <c r="E33" s="19" t="n"/>
      <c r="F33" s="19" t="n"/>
      <c r="G33" s="28" t="inlineStr"/>
    </row>
    <row r="34">
      <c r="B34" s="12" t="inlineStr">
        <is>
          <t>Capex ($M)</t>
        </is>
      </c>
      <c r="C34" s="19" t="n"/>
      <c r="D34" s="19" t="n"/>
      <c r="E34" s="19" t="n"/>
      <c r="F34" s="19" t="n"/>
      <c r="G34" s="28" t="inlineStr"/>
    </row>
    <row r="35">
      <c r="B35" s="12" t="inlineStr">
        <is>
          <t>Free Cash Flow ($M)</t>
        </is>
      </c>
      <c r="C35" s="19" t="n"/>
      <c r="D35" s="19" t="n"/>
      <c r="E35" s="19" t="n"/>
      <c r="F35" s="19" t="n"/>
      <c r="G35" s="28" t="inlineStr"/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391"/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8" customWidth="1" min="12" max="12"/>
  </cols>
  <sheetData>
    <row r="1"/>
    <row r="2">
      <c r="B2" s="1" t="inlineStr">
        <is>
          <t>Financial Model — Historical &amp; Projections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/>
    <row r="4">
      <c r="B4" s="6" t="inlineStr">
        <is>
          <t>Line Item ($M)</t>
        </is>
      </c>
      <c r="C4" s="31" t="inlineStr">
        <is>
          <t>FY-3</t>
        </is>
      </c>
      <c r="D4" s="31" t="inlineStr">
        <is>
          <t>FY-2</t>
        </is>
      </c>
      <c r="E4" s="31" t="inlineStr">
        <is>
          <t>FY-1</t>
        </is>
      </c>
      <c r="F4" s="31" t="inlineStr">
        <is>
          <t>FY0</t>
        </is>
      </c>
      <c r="G4" s="6" t="inlineStr">
        <is>
          <t>FY1</t>
        </is>
      </c>
      <c r="H4" s="6" t="inlineStr">
        <is>
          <t>FY2</t>
        </is>
      </c>
      <c r="I4" s="6" t="inlineStr">
        <is>
          <t>FY3</t>
        </is>
      </c>
      <c r="J4" s="6" t="inlineStr">
        <is>
          <t>FY4</t>
        </is>
      </c>
      <c r="K4" s="6" t="inlineStr">
        <is>
          <t>FY5</t>
        </is>
      </c>
      <c r="L4" s="6" t="inlineStr">
        <is>
          <t>Notes</t>
        </is>
      </c>
    </row>
    <row r="5">
      <c r="B5" s="65" t="inlineStr">
        <is>
          <t>Projection Assumptions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B6" s="25" t="inlineStr">
        <is>
          <t>Yellow cells = inputs. Change these for your projections.</t>
        </is>
      </c>
    </row>
    <row r="7">
      <c r="B7" s="17" t="inlineStr">
        <is>
          <t>Revenue Growth %</t>
        </is>
      </c>
      <c r="C7" s="32" t="inlineStr"/>
      <c r="D7" s="32" t="inlineStr"/>
      <c r="E7" s="32" t="inlineStr"/>
      <c r="F7" s="32" t="inlineStr"/>
      <c r="G7" s="20" t="n"/>
      <c r="H7" s="20" t="n"/>
      <c r="I7" s="20" t="n"/>
      <c r="J7" s="20" t="n"/>
      <c r="K7" s="20" t="n"/>
    </row>
    <row r="8">
      <c r="B8" s="17" t="inlineStr">
        <is>
          <t>Gross Margin %</t>
        </is>
      </c>
      <c r="C8" s="32" t="inlineStr"/>
      <c r="D8" s="32" t="inlineStr"/>
      <c r="E8" s="32" t="inlineStr"/>
      <c r="F8" s="32" t="inlineStr"/>
      <c r="G8" s="20" t="n"/>
      <c r="H8" s="20" t="n"/>
      <c r="I8" s="20" t="n"/>
      <c r="J8" s="20" t="n"/>
      <c r="K8" s="20" t="n"/>
    </row>
    <row r="9">
      <c r="B9" s="17" t="inlineStr">
        <is>
          <t>S&amp;M % of Revenue</t>
        </is>
      </c>
      <c r="C9" s="32" t="inlineStr"/>
      <c r="D9" s="32" t="inlineStr"/>
      <c r="E9" s="32" t="inlineStr"/>
      <c r="F9" s="32" t="inlineStr"/>
      <c r="G9" s="20" t="n"/>
      <c r="H9" s="20" t="n"/>
      <c r="I9" s="20" t="n"/>
      <c r="J9" s="20" t="n"/>
      <c r="K9" s="20" t="n"/>
    </row>
    <row r="10">
      <c r="B10" s="17" t="inlineStr">
        <is>
          <t>R&amp;D % of Revenue</t>
        </is>
      </c>
      <c r="C10" s="32" t="inlineStr"/>
      <c r="D10" s="32" t="inlineStr"/>
      <c r="E10" s="32" t="inlineStr"/>
      <c r="F10" s="32" t="inlineStr"/>
      <c r="G10" s="20" t="n"/>
      <c r="H10" s="20" t="n"/>
      <c r="I10" s="20" t="n"/>
      <c r="J10" s="20" t="n"/>
      <c r="K10" s="20" t="n"/>
    </row>
    <row r="11">
      <c r="B11" s="17" t="inlineStr">
        <is>
          <t>G&amp;A % of Revenue</t>
        </is>
      </c>
      <c r="C11" s="32" t="inlineStr"/>
      <c r="D11" s="32" t="inlineStr"/>
      <c r="E11" s="32" t="inlineStr"/>
      <c r="F11" s="32" t="inlineStr"/>
      <c r="G11" s="20" t="n"/>
      <c r="H11" s="20" t="n"/>
      <c r="I11" s="20" t="n"/>
      <c r="J11" s="20" t="n"/>
      <c r="K11" s="20" t="n"/>
    </row>
    <row r="12">
      <c r="B12" s="17" t="inlineStr">
        <is>
          <t>D&amp;A % of Revenue</t>
        </is>
      </c>
      <c r="C12" s="32" t="inlineStr"/>
      <c r="D12" s="32" t="inlineStr"/>
      <c r="E12" s="32" t="inlineStr"/>
      <c r="F12" s="32" t="inlineStr"/>
      <c r="G12" s="20" t="n"/>
      <c r="H12" s="20" t="n"/>
      <c r="I12" s="20" t="n"/>
      <c r="J12" s="20" t="n"/>
      <c r="K12" s="20" t="n"/>
    </row>
    <row r="13">
      <c r="B13" s="17" t="inlineStr">
        <is>
          <t>Tax Rate %</t>
        </is>
      </c>
      <c r="C13" s="32" t="inlineStr"/>
      <c r="D13" s="32" t="inlineStr"/>
      <c r="E13" s="32" t="inlineStr"/>
      <c r="F13" s="32" t="inlineStr"/>
      <c r="G13" s="20" t="n"/>
      <c r="H13" s="20" t="n"/>
      <c r="I13" s="20" t="n"/>
      <c r="J13" s="20" t="n"/>
      <c r="K13" s="20" t="n"/>
    </row>
    <row r="14">
      <c r="B14" s="17" t="inlineStr">
        <is>
          <t>Capex % of Revenue</t>
        </is>
      </c>
      <c r="C14" s="32" t="inlineStr"/>
      <c r="D14" s="32" t="inlineStr"/>
      <c r="E14" s="32" t="inlineStr"/>
      <c r="F14" s="32" t="inlineStr"/>
      <c r="G14" s="20" t="n"/>
      <c r="H14" s="20" t="n"/>
      <c r="I14" s="20" t="n"/>
      <c r="J14" s="20" t="n"/>
      <c r="K14" s="20" t="n"/>
    </row>
    <row r="15"/>
    <row r="16">
      <c r="B16" s="65" t="inlineStr">
        <is>
          <t>Income Statement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B17" s="12" t="inlineStr">
        <is>
          <t>Revenue</t>
        </is>
      </c>
      <c r="C17" s="33">
        <f>FINANCIALS!C8</f>
        <v/>
      </c>
      <c r="D17" s="33">
        <f>FINANCIALS!D8</f>
        <v/>
      </c>
      <c r="E17" s="33">
        <f>FINANCIALS!E8</f>
        <v/>
      </c>
      <c r="F17" s="33">
        <f>FINANCIALS!F8</f>
        <v/>
      </c>
      <c r="G17" s="34">
        <f>F17*(1+G7)</f>
        <v/>
      </c>
      <c r="H17" s="34">
        <f>G17*(1+H7)</f>
        <v/>
      </c>
      <c r="I17" s="34">
        <f>H17*(1+I7)</f>
        <v/>
      </c>
      <c r="J17" s="34">
        <f>I17*(1+J7)</f>
        <v/>
      </c>
      <c r="K17" s="34">
        <f>J17*(1+K7)</f>
        <v/>
      </c>
    </row>
    <row r="18">
      <c r="B18" s="12" t="inlineStr">
        <is>
          <t xml:space="preserve">  YoY Growth %</t>
        </is>
      </c>
      <c r="C18" s="35" t="n"/>
      <c r="D18" s="35" t="n"/>
      <c r="E18" s="35" t="n"/>
      <c r="F18" s="35" t="n"/>
      <c r="G18" s="36">
        <f>IFERROR(G17/F17-1,"-")</f>
        <v/>
      </c>
      <c r="H18" s="36">
        <f>IFERROR(H17/G17-1,"-")</f>
        <v/>
      </c>
      <c r="I18" s="36">
        <f>IFERROR(I17/H17-1,"-")</f>
        <v/>
      </c>
      <c r="J18" s="36">
        <f>IFERROR(J17/I17-1,"-")</f>
        <v/>
      </c>
      <c r="K18" s="36">
        <f>IFERROR(K17/J17-1,"-")</f>
        <v/>
      </c>
    </row>
    <row r="19">
      <c r="B19" s="12" t="inlineStr">
        <is>
          <t>Gross Profit</t>
        </is>
      </c>
      <c r="C19" s="33">
        <f>FINANCIALS!C11</f>
        <v/>
      </c>
      <c r="D19" s="33">
        <f>FINANCIALS!D11</f>
        <v/>
      </c>
      <c r="E19" s="33">
        <f>FINANCIALS!E11</f>
        <v/>
      </c>
      <c r="F19" s="33">
        <f>FINANCIALS!F11</f>
        <v/>
      </c>
      <c r="G19" s="34">
        <f>G17*G8</f>
        <v/>
      </c>
      <c r="H19" s="34">
        <f>H17*H8</f>
        <v/>
      </c>
      <c r="I19" s="34">
        <f>I17*I8</f>
        <v/>
      </c>
      <c r="J19" s="34">
        <f>J17*J8</f>
        <v/>
      </c>
      <c r="K19" s="34">
        <f>K17*K8</f>
        <v/>
      </c>
    </row>
    <row r="20">
      <c r="B20" s="12" t="inlineStr">
        <is>
          <t xml:space="preserve">  Gross Margin %</t>
        </is>
      </c>
      <c r="C20" s="37">
        <f>FINANCIALS!C12</f>
        <v/>
      </c>
      <c r="D20" s="37">
        <f>FINANCIALS!D12</f>
        <v/>
      </c>
      <c r="E20" s="37">
        <f>FINANCIALS!E12</f>
        <v/>
      </c>
      <c r="F20" s="37">
        <f>FINANCIALS!F12</f>
        <v/>
      </c>
      <c r="G20" s="36">
        <f>IFERROR(G19/G17,"-")</f>
        <v/>
      </c>
      <c r="H20" s="36">
        <f>IFERROR(H19/H17,"-")</f>
        <v/>
      </c>
      <c r="I20" s="36">
        <f>IFERROR(I19/I17,"-")</f>
        <v/>
      </c>
      <c r="J20" s="36">
        <f>IFERROR(J19/J17,"-")</f>
        <v/>
      </c>
      <c r="K20" s="36">
        <f>IFERROR(K19/K17,"-")</f>
        <v/>
      </c>
    </row>
    <row r="21">
      <c r="B21" s="12" t="inlineStr">
        <is>
          <t xml:space="preserve">  Sales &amp; Marketing</t>
        </is>
      </c>
      <c r="C21" s="33">
        <f>FINANCIALS!C13</f>
        <v/>
      </c>
      <c r="D21" s="33">
        <f>FINANCIALS!D13</f>
        <v/>
      </c>
      <c r="E21" s="33">
        <f>FINANCIALS!E13</f>
        <v/>
      </c>
      <c r="F21" s="33">
        <f>FINANCIALS!F13</f>
        <v/>
      </c>
      <c r="G21" s="34">
        <f>G17*G9</f>
        <v/>
      </c>
      <c r="H21" s="34">
        <f>H17*H9</f>
        <v/>
      </c>
      <c r="I21" s="34">
        <f>I17*I9</f>
        <v/>
      </c>
      <c r="J21" s="34">
        <f>J17*J9</f>
        <v/>
      </c>
      <c r="K21" s="34">
        <f>K17*K9</f>
        <v/>
      </c>
    </row>
    <row r="22">
      <c r="B22" s="12" t="inlineStr">
        <is>
          <t xml:space="preserve">  Research &amp; Development</t>
        </is>
      </c>
      <c r="C22" s="33">
        <f>FINANCIALS!C14</f>
        <v/>
      </c>
      <c r="D22" s="33">
        <f>FINANCIALS!D14</f>
        <v/>
      </c>
      <c r="E22" s="33">
        <f>FINANCIALS!E14</f>
        <v/>
      </c>
      <c r="F22" s="33">
        <f>FINANCIALS!F14</f>
        <v/>
      </c>
      <c r="G22" s="34">
        <f>G17*G10</f>
        <v/>
      </c>
      <c r="H22" s="34">
        <f>H17*H10</f>
        <v/>
      </c>
      <c r="I22" s="34">
        <f>I17*I10</f>
        <v/>
      </c>
      <c r="J22" s="34">
        <f>J17*J10</f>
        <v/>
      </c>
      <c r="K22" s="34">
        <f>K17*K10</f>
        <v/>
      </c>
    </row>
    <row r="23">
      <c r="B23" s="12" t="inlineStr">
        <is>
          <t xml:space="preserve">  General &amp; Administrative</t>
        </is>
      </c>
      <c r="C23" s="33">
        <f>FINANCIALS!C15</f>
        <v/>
      </c>
      <c r="D23" s="33">
        <f>FINANCIALS!D15</f>
        <v/>
      </c>
      <c r="E23" s="33">
        <f>FINANCIALS!E15</f>
        <v/>
      </c>
      <c r="F23" s="33">
        <f>FINANCIALS!F15</f>
        <v/>
      </c>
      <c r="G23" s="34">
        <f>G17*G11</f>
        <v/>
      </c>
      <c r="H23" s="34">
        <f>H17*H11</f>
        <v/>
      </c>
      <c r="I23" s="34">
        <f>I17*I11</f>
        <v/>
      </c>
      <c r="J23" s="34">
        <f>J17*J11</f>
        <v/>
      </c>
      <c r="K23" s="34">
        <f>K17*K11</f>
        <v/>
      </c>
    </row>
    <row r="24">
      <c r="B24" s="29" t="inlineStr">
        <is>
          <t>Total OpEx</t>
        </is>
      </c>
      <c r="C24" s="38">
        <f>FINANCIALS!C16</f>
        <v/>
      </c>
      <c r="D24" s="38">
        <f>FINANCIALS!D16</f>
        <v/>
      </c>
      <c r="E24" s="38">
        <f>FINANCIALS!E16</f>
        <v/>
      </c>
      <c r="F24" s="38">
        <f>FINANCIALS!F16</f>
        <v/>
      </c>
      <c r="G24" s="39">
        <f>G21+G22+G23</f>
        <v/>
      </c>
      <c r="H24" s="39">
        <f>H21+H22+H23</f>
        <v/>
      </c>
      <c r="I24" s="39">
        <f>I21+I22+I23</f>
        <v/>
      </c>
      <c r="J24" s="39">
        <f>J21+J22+J23</f>
        <v/>
      </c>
      <c r="K24" s="39">
        <f>K21+K22+K23</f>
        <v/>
      </c>
    </row>
    <row r="25">
      <c r="B25" s="29" t="inlineStr">
        <is>
          <t>EBITDA</t>
        </is>
      </c>
      <c r="C25" s="38">
        <f>FINANCIALS!C17</f>
        <v/>
      </c>
      <c r="D25" s="38">
        <f>FINANCIALS!D17</f>
        <v/>
      </c>
      <c r="E25" s="38">
        <f>FINANCIALS!E17</f>
        <v/>
      </c>
      <c r="F25" s="38">
        <f>FINANCIALS!F17</f>
        <v/>
      </c>
      <c r="G25" s="39">
        <f>G19-G24</f>
        <v/>
      </c>
      <c r="H25" s="39">
        <f>H19-H24</f>
        <v/>
      </c>
      <c r="I25" s="39">
        <f>I19-I24</f>
        <v/>
      </c>
      <c r="J25" s="39">
        <f>J19-J24</f>
        <v/>
      </c>
      <c r="K25" s="39">
        <f>K19-K24</f>
        <v/>
      </c>
    </row>
    <row r="26">
      <c r="B26" s="12" t="inlineStr">
        <is>
          <t xml:space="preserve">  EBITDA Margin %</t>
        </is>
      </c>
      <c r="C26" s="37">
        <f>FINANCIALS!C18</f>
        <v/>
      </c>
      <c r="D26" s="37">
        <f>FINANCIALS!D18</f>
        <v/>
      </c>
      <c r="E26" s="37">
        <f>FINANCIALS!E18</f>
        <v/>
      </c>
      <c r="F26" s="37">
        <f>FINANCIALS!F18</f>
        <v/>
      </c>
      <c r="G26" s="36">
        <f>IFERROR(G25/G17,"-")</f>
        <v/>
      </c>
      <c r="H26" s="36">
        <f>IFERROR(H25/H17,"-")</f>
        <v/>
      </c>
      <c r="I26" s="36">
        <f>IFERROR(I25/I17,"-")</f>
        <v/>
      </c>
      <c r="J26" s="36">
        <f>IFERROR(J25/J17,"-")</f>
        <v/>
      </c>
      <c r="K26" s="36">
        <f>IFERROR(K25/K17,"-")</f>
        <v/>
      </c>
    </row>
    <row r="27">
      <c r="B27" s="12" t="inlineStr">
        <is>
          <t>D&amp;A</t>
        </is>
      </c>
      <c r="C27" s="33">
        <f>FINANCIALS!C19</f>
        <v/>
      </c>
      <c r="D27" s="33">
        <f>FINANCIALS!D19</f>
        <v/>
      </c>
      <c r="E27" s="33">
        <f>FINANCIALS!E19</f>
        <v/>
      </c>
      <c r="F27" s="33">
        <f>FINANCIALS!F19</f>
        <v/>
      </c>
      <c r="G27" s="34">
        <f>G17*G12</f>
        <v/>
      </c>
      <c r="H27" s="34">
        <f>H17*H12</f>
        <v/>
      </c>
      <c r="I27" s="34">
        <f>I17*I12</f>
        <v/>
      </c>
      <c r="J27" s="34">
        <f>J17*J12</f>
        <v/>
      </c>
      <c r="K27" s="34">
        <f>K17*K12</f>
        <v/>
      </c>
    </row>
    <row r="28">
      <c r="B28" s="29" t="inlineStr">
        <is>
          <t>EBIT</t>
        </is>
      </c>
      <c r="C28" s="38">
        <f>FINANCIALS!C20</f>
        <v/>
      </c>
      <c r="D28" s="38">
        <f>FINANCIALS!D20</f>
        <v/>
      </c>
      <c r="E28" s="38">
        <f>FINANCIALS!E20</f>
        <v/>
      </c>
      <c r="F28" s="38">
        <f>FINANCIALS!F20</f>
        <v/>
      </c>
      <c r="G28" s="39">
        <f>G25-G27</f>
        <v/>
      </c>
      <c r="H28" s="39">
        <f>H25-H27</f>
        <v/>
      </c>
      <c r="I28" s="39">
        <f>I25-I27</f>
        <v/>
      </c>
      <c r="J28" s="39">
        <f>J25-J27</f>
        <v/>
      </c>
      <c r="K28" s="39">
        <f>K25-K27</f>
        <v/>
      </c>
    </row>
    <row r="29">
      <c r="B29" s="12" t="inlineStr">
        <is>
          <t>Interest Expense</t>
        </is>
      </c>
      <c r="C29" s="33">
        <f>FINANCIALS!C21</f>
        <v/>
      </c>
      <c r="D29" s="33">
        <f>FINANCIALS!D21</f>
        <v/>
      </c>
      <c r="E29" s="33">
        <f>FINANCIALS!E21</f>
        <v/>
      </c>
      <c r="F29" s="33">
        <f>FINANCIALS!F21</f>
        <v/>
      </c>
      <c r="G29" s="40" t="n"/>
      <c r="H29" s="40" t="n"/>
      <c r="I29" s="40" t="n"/>
      <c r="J29" s="40" t="n"/>
      <c r="K29" s="40" t="n"/>
    </row>
    <row r="30">
      <c r="B30" s="29" t="inlineStr">
        <is>
          <t>EBT</t>
        </is>
      </c>
      <c r="C30" s="38">
        <f>FINANCIALS!C22</f>
        <v/>
      </c>
      <c r="D30" s="38">
        <f>FINANCIALS!D22</f>
        <v/>
      </c>
      <c r="E30" s="38">
        <f>FINANCIALS!E22</f>
        <v/>
      </c>
      <c r="F30" s="38">
        <f>FINANCIALS!F22</f>
        <v/>
      </c>
      <c r="G30" s="39">
        <f>G28-G29</f>
        <v/>
      </c>
      <c r="H30" s="39">
        <f>H28-H29</f>
        <v/>
      </c>
      <c r="I30" s="39">
        <f>I28-I29</f>
        <v/>
      </c>
      <c r="J30" s="39">
        <f>J28-J29</f>
        <v/>
      </c>
      <c r="K30" s="39">
        <f>K28-K29</f>
        <v/>
      </c>
    </row>
    <row r="31">
      <c r="B31" s="12" t="inlineStr">
        <is>
          <t>Tax</t>
        </is>
      </c>
      <c r="C31" s="33">
        <f>FINANCIALS!C23</f>
        <v/>
      </c>
      <c r="D31" s="33">
        <f>FINANCIALS!D23</f>
        <v/>
      </c>
      <c r="E31" s="33">
        <f>FINANCIALS!E23</f>
        <v/>
      </c>
      <c r="F31" s="33">
        <f>FINANCIALS!F23</f>
        <v/>
      </c>
      <c r="G31" s="34">
        <f>G30*G13</f>
        <v/>
      </c>
      <c r="H31" s="34">
        <f>H30*H13</f>
        <v/>
      </c>
      <c r="I31" s="34">
        <f>I30*I13</f>
        <v/>
      </c>
      <c r="J31" s="34">
        <f>J30*J13</f>
        <v/>
      </c>
      <c r="K31" s="34">
        <f>K30*K13</f>
        <v/>
      </c>
    </row>
    <row r="32">
      <c r="B32" s="29" t="inlineStr">
        <is>
          <t>Net Income</t>
        </is>
      </c>
      <c r="C32" s="38">
        <f>FINANCIALS!C24</f>
        <v/>
      </c>
      <c r="D32" s="38">
        <f>FINANCIALS!D24</f>
        <v/>
      </c>
      <c r="E32" s="38">
        <f>FINANCIALS!E24</f>
        <v/>
      </c>
      <c r="F32" s="38">
        <f>FINANCIALS!F24</f>
        <v/>
      </c>
      <c r="G32" s="39">
        <f>G30-G31</f>
        <v/>
      </c>
      <c r="H32" s="39">
        <f>H30-H31</f>
        <v/>
      </c>
      <c r="I32" s="39">
        <f>I30-I31</f>
        <v/>
      </c>
      <c r="J32" s="39">
        <f>J30-J31</f>
        <v/>
      </c>
      <c r="K32" s="39">
        <f>K30-K31</f>
        <v/>
      </c>
    </row>
    <row r="33"/>
    <row r="34">
      <c r="B34" s="65" t="inlineStr">
        <is>
          <t>Free Cash Flow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B35" s="12" t="inlineStr">
        <is>
          <t>EBITDA</t>
        </is>
      </c>
      <c r="C35" s="40" t="n"/>
      <c r="D35" s="40" t="n"/>
      <c r="E35" s="40" t="n"/>
      <c r="F35" s="40" t="n"/>
      <c r="G35" s="34">
        <f>G25</f>
        <v/>
      </c>
      <c r="H35" s="34">
        <f>H25</f>
        <v/>
      </c>
      <c r="I35" s="34">
        <f>I25</f>
        <v/>
      </c>
      <c r="J35" s="34">
        <f>J25</f>
        <v/>
      </c>
      <c r="K35" s="34">
        <f>K25</f>
        <v/>
      </c>
    </row>
    <row r="36">
      <c r="B36" s="12" t="inlineStr">
        <is>
          <t>Less: Capex</t>
        </is>
      </c>
      <c r="C36" s="33">
        <f>FINANCIALS!C34</f>
        <v/>
      </c>
      <c r="D36" s="33">
        <f>FINANCIALS!D34</f>
        <v/>
      </c>
      <c r="E36" s="33">
        <f>FINANCIALS!E34</f>
        <v/>
      </c>
      <c r="F36" s="33">
        <f>FINANCIALS!F34</f>
        <v/>
      </c>
      <c r="G36" s="34">
        <f>G17*G14</f>
        <v/>
      </c>
      <c r="H36" s="34">
        <f>H17*H14</f>
        <v/>
      </c>
      <c r="I36" s="34">
        <f>I17*I14</f>
        <v/>
      </c>
      <c r="J36" s="34">
        <f>J17*J14</f>
        <v/>
      </c>
      <c r="K36" s="34">
        <f>K17*K14</f>
        <v/>
      </c>
    </row>
    <row r="37">
      <c r="B37" s="12" t="inlineStr">
        <is>
          <t>Less: Interest</t>
        </is>
      </c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</row>
    <row r="38">
      <c r="B38" s="29" t="inlineStr">
        <is>
          <t>Free Cash Flow</t>
        </is>
      </c>
      <c r="C38" s="38">
        <f>FINANCIALS!C35</f>
        <v/>
      </c>
      <c r="D38" s="38">
        <f>FINANCIALS!D35</f>
        <v/>
      </c>
      <c r="E38" s="38">
        <f>FINANCIALS!E35</f>
        <v/>
      </c>
      <c r="F38" s="38">
        <f>FINANCIALS!F35</f>
        <v/>
      </c>
      <c r="G38" s="39">
        <f>G25-G36-G37</f>
        <v/>
      </c>
      <c r="H38" s="39">
        <f>H25-H36-H37</f>
        <v/>
      </c>
      <c r="I38" s="39">
        <f>I25-I36-I37</f>
        <v/>
      </c>
      <c r="J38" s="39">
        <f>J25-J36-J37</f>
        <v/>
      </c>
      <c r="K38" s="39">
        <f>K25-K36-K37</f>
        <v/>
      </c>
    </row>
  </sheetData>
  <mergeCells count="5"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2" customWidth="1" min="10" max="10"/>
    <col width="3" customWidth="1" min="11" max="11"/>
  </cols>
  <sheetData>
    <row r="1"/>
    <row r="2">
      <c r="B2" s="1" t="inlineStr">
        <is>
          <t>Driver Tree — Thesis Decomposition to MOIC</t>
        </is>
      </c>
      <c r="C2" s="2" t="n"/>
      <c r="D2" s="2" t="n"/>
      <c r="E2" s="2" t="n"/>
      <c r="F2" s="2" t="n"/>
      <c r="G2" s="2" t="n"/>
      <c r="H2" s="2" t="n"/>
      <c r="I2" s="3" t="n"/>
    </row>
    <row r="3"/>
    <row r="4">
      <c r="B4" s="25" t="inlineStr">
        <is>
          <t>Decompose your investment thesis into MECE value drivers. Map each driver to an NTB and estimate MOIC contribution. MOIC delta = (Upside Exit EV - Base Exit EV) / Entry Equity.</t>
        </is>
      </c>
    </row>
    <row r="5"/>
    <row r="6">
      <c r="B6" s="6" t="inlineStr">
        <is>
          <t>Lvl</t>
        </is>
      </c>
      <c r="C6" s="6" t="inlineStr">
        <is>
          <t>Value Driver</t>
        </is>
      </c>
      <c r="D6" s="6" t="inlineStr">
        <is>
          <t>Type</t>
        </is>
      </c>
      <c r="E6" s="6" t="inlineStr">
        <is>
          <t>NTB Link</t>
        </is>
      </c>
      <c r="F6" s="6" t="inlineStr">
        <is>
          <t>Base ($M)</t>
        </is>
      </c>
      <c r="G6" s="6" t="inlineStr">
        <is>
          <t>Upside ($M)</t>
        </is>
      </c>
      <c r="H6" s="6" t="inlineStr">
        <is>
          <t>MOIC Delta</t>
        </is>
      </c>
      <c r="I6" s="6" t="inlineStr">
        <is>
          <t>Evidence</t>
        </is>
      </c>
      <c r="J6" s="6" t="inlineStr">
        <is>
          <t>Notes</t>
        </is>
      </c>
    </row>
    <row r="7">
      <c r="B7" s="41" t="n">
        <v>1</v>
      </c>
      <c r="C7" s="29" t="inlineStr">
        <is>
          <t>Revenue Growth</t>
        </is>
      </c>
      <c r="D7" s="42" t="inlineStr">
        <is>
          <t>Revenue</t>
        </is>
      </c>
      <c r="E7" s="18" t="inlineStr"/>
      <c r="F7" s="19" t="n"/>
      <c r="G7" s="19" t="n"/>
      <c r="H7" s="23">
        <f>IFERROR((G7-F7)/INPUTS!B22,"-")</f>
        <v/>
      </c>
      <c r="I7" s="43" t="inlineStr"/>
      <c r="J7" s="18" t="inlineStr"/>
    </row>
    <row r="8">
      <c r="B8" s="44" t="n">
        <v>2</v>
      </c>
      <c r="C8" s="45" t="inlineStr">
        <is>
          <t xml:space="preserve">  Organic Growth</t>
        </is>
      </c>
      <c r="D8" s="46" t="inlineStr">
        <is>
          <t>Revenue</t>
        </is>
      </c>
      <c r="E8" s="18" t="inlineStr">
        <is>
          <t>NTB 1</t>
        </is>
      </c>
      <c r="F8" s="19" t="n"/>
      <c r="G8" s="19" t="n"/>
      <c r="H8" s="23">
        <f>IFERROR((G8-F8)/INPUTS!B22,"-")</f>
        <v/>
      </c>
      <c r="I8" s="47" t="inlineStr">
        <is>
          <t>Unconfirmed</t>
        </is>
      </c>
      <c r="J8" s="18" t="inlineStr"/>
    </row>
    <row r="9">
      <c r="B9" s="48" t="n">
        <v>2</v>
      </c>
      <c r="C9" s="12" t="inlineStr">
        <is>
          <t xml:space="preserve">  Pricing Power</t>
        </is>
      </c>
      <c r="D9" s="49" t="inlineStr">
        <is>
          <t>Revenue</t>
        </is>
      </c>
      <c r="E9" s="18" t="inlineStr">
        <is>
          <t>NTB 2</t>
        </is>
      </c>
      <c r="F9" s="19" t="n"/>
      <c r="G9" s="19" t="n"/>
      <c r="H9" s="23">
        <f>IFERROR((G9-F9)/INPUTS!B22,"-")</f>
        <v/>
      </c>
      <c r="I9" s="47" t="inlineStr">
        <is>
          <t>Unconfirmed</t>
        </is>
      </c>
      <c r="J9" s="18" t="inlineStr"/>
    </row>
    <row r="10">
      <c r="B10" s="44" t="n">
        <v>2</v>
      </c>
      <c r="C10" s="45" t="inlineStr">
        <is>
          <t xml:space="preserve">  New Markets / GEO</t>
        </is>
      </c>
      <c r="D10" s="46" t="inlineStr">
        <is>
          <t>Revenue</t>
        </is>
      </c>
      <c r="E10" s="18" t="inlineStr">
        <is>
          <t>NTB 3</t>
        </is>
      </c>
      <c r="F10" s="19" t="n"/>
      <c r="G10" s="19" t="n"/>
      <c r="H10" s="23">
        <f>IFERROR((G10-F10)/INPUTS!B22,"-")</f>
        <v/>
      </c>
      <c r="I10" s="47" t="inlineStr">
        <is>
          <t>Unconfirmed</t>
        </is>
      </c>
      <c r="J10" s="18" t="inlineStr"/>
    </row>
    <row r="11">
      <c r="B11" s="41" t="n">
        <v>1</v>
      </c>
      <c r="C11" s="29" t="inlineStr">
        <is>
          <t>Margin Expansion</t>
        </is>
      </c>
      <c r="D11" s="42" t="inlineStr">
        <is>
          <t>Cost</t>
        </is>
      </c>
      <c r="E11" s="18" t="inlineStr"/>
      <c r="F11" s="19" t="n"/>
      <c r="G11" s="19" t="n"/>
      <c r="H11" s="23">
        <f>IFERROR((G11-F11)/INPUTS!B22,"-")</f>
        <v/>
      </c>
      <c r="I11" s="43" t="inlineStr"/>
      <c r="J11" s="18" t="inlineStr"/>
    </row>
    <row r="12">
      <c r="B12" s="44" t="n">
        <v>2</v>
      </c>
      <c r="C12" s="45" t="inlineStr">
        <is>
          <t xml:space="preserve">  Gross Margin Lift</t>
        </is>
      </c>
      <c r="D12" s="46" t="inlineStr">
        <is>
          <t>Cost</t>
        </is>
      </c>
      <c r="E12" s="18" t="inlineStr">
        <is>
          <t>NTB 4</t>
        </is>
      </c>
      <c r="F12" s="19" t="n"/>
      <c r="G12" s="19" t="n"/>
      <c r="H12" s="23">
        <f>IFERROR((G12-F12)/INPUTS!B22,"-")</f>
        <v/>
      </c>
      <c r="I12" s="47" t="inlineStr">
        <is>
          <t>Unconfirmed</t>
        </is>
      </c>
      <c r="J12" s="18" t="inlineStr"/>
    </row>
    <row r="13">
      <c r="B13" s="48" t="n">
        <v>2</v>
      </c>
      <c r="C13" s="12" t="inlineStr">
        <is>
          <t xml:space="preserve">  OpEx Efficiency</t>
        </is>
      </c>
      <c r="D13" s="49" t="inlineStr">
        <is>
          <t>Cost</t>
        </is>
      </c>
      <c r="E13" s="18" t="inlineStr">
        <is>
          <t>NTB 5</t>
        </is>
      </c>
      <c r="F13" s="19" t="n"/>
      <c r="G13" s="19" t="n"/>
      <c r="H13" s="23">
        <f>IFERROR((G13-F13)/INPUTS!B22,"-")</f>
        <v/>
      </c>
      <c r="I13" s="47" t="inlineStr">
        <is>
          <t>Unconfirmed</t>
        </is>
      </c>
      <c r="J13" s="18" t="inlineStr"/>
    </row>
    <row r="14">
      <c r="B14" s="41" t="n">
        <v>1</v>
      </c>
      <c r="C14" s="29" t="inlineStr">
        <is>
          <t>Multiple Expansion</t>
        </is>
      </c>
      <c r="D14" s="42" t="inlineStr">
        <is>
          <t>Multiple</t>
        </is>
      </c>
      <c r="E14" s="18" t="inlineStr"/>
      <c r="F14" s="19" t="n"/>
      <c r="G14" s="19" t="n"/>
      <c r="H14" s="23">
        <f>IFERROR((G14-F14)/INPUTS!B22,"-")</f>
        <v/>
      </c>
      <c r="I14" s="43" t="inlineStr"/>
      <c r="J14" s="18" t="inlineStr"/>
    </row>
    <row r="15">
      <c r="B15" s="48" t="n">
        <v>2</v>
      </c>
      <c r="C15" s="12" t="inlineStr">
        <is>
          <t xml:space="preserve">  Sector re-rating</t>
        </is>
      </c>
      <c r="D15" s="49" t="inlineStr">
        <is>
          <t>Multiple</t>
        </is>
      </c>
      <c r="E15" s="18" t="inlineStr"/>
      <c r="F15" s="19" t="n"/>
      <c r="G15" s="19" t="n"/>
      <c r="H15" s="23">
        <f>IFERROR((G15-F15)/INPUTS!B22,"-")</f>
        <v/>
      </c>
      <c r="I15" s="47" t="inlineStr">
        <is>
          <t>Unconfirmed</t>
        </is>
      </c>
      <c r="J15" s="18" t="inlineStr"/>
    </row>
    <row r="16">
      <c r="B16" s="44" t="n">
        <v>2</v>
      </c>
      <c r="C16" s="45" t="inlineStr">
        <is>
          <t xml:space="preserve">  M&amp;A premium</t>
        </is>
      </c>
      <c r="D16" s="46" t="inlineStr">
        <is>
          <t>Multiple</t>
        </is>
      </c>
      <c r="E16" s="18" t="inlineStr"/>
      <c r="F16" s="19" t="n"/>
      <c r="G16" s="19" t="n"/>
      <c r="H16" s="23">
        <f>IFERROR((G16-F16)/INPUTS!B22,"-")</f>
        <v/>
      </c>
      <c r="I16" s="47" t="inlineStr">
        <is>
          <t>Unconfirmed</t>
        </is>
      </c>
      <c r="J16" s="18" t="inlineStr"/>
    </row>
    <row r="17">
      <c r="B17" s="41" t="n">
        <v>1</v>
      </c>
      <c r="C17" s="29" t="inlineStr">
        <is>
          <t>Financial Engineering</t>
        </is>
      </c>
      <c r="D17" s="42" t="inlineStr">
        <is>
          <t>Leverage</t>
        </is>
      </c>
      <c r="E17" s="18" t="inlineStr"/>
      <c r="F17" s="19" t="n"/>
      <c r="G17" s="19" t="n"/>
      <c r="H17" s="23">
        <f>IFERROR((G17-F17)/INPUTS!B22,"-")</f>
        <v/>
      </c>
      <c r="I17" s="43" t="inlineStr"/>
      <c r="J17" s="18" t="inlineStr"/>
    </row>
    <row r="18">
      <c r="B18" s="44" t="n">
        <v>2</v>
      </c>
      <c r="C18" s="45" t="inlineStr">
        <is>
          <t xml:space="preserve">  Debt paydown</t>
        </is>
      </c>
      <c r="D18" s="46" t="inlineStr">
        <is>
          <t>Leverage</t>
        </is>
      </c>
      <c r="E18" s="18" t="inlineStr"/>
      <c r="F18" s="19" t="n"/>
      <c r="G18" s="19" t="n"/>
      <c r="H18" s="23">
        <f>IFERROR((G18-F18)/INPUTS!B22,"-")</f>
        <v/>
      </c>
      <c r="I18" s="50" t="inlineStr"/>
      <c r="J18" s="18" t="inlineStr"/>
    </row>
    <row r="19">
      <c r="B19" s="48" t="n">
        <v>2</v>
      </c>
      <c r="C19" s="12" t="inlineStr">
        <is>
          <t xml:space="preserve">  Refinancing</t>
        </is>
      </c>
      <c r="D19" s="49" t="inlineStr">
        <is>
          <t>Leverage</t>
        </is>
      </c>
      <c r="E19" s="18" t="inlineStr"/>
      <c r="F19" s="19" t="n"/>
      <c r="G19" s="19" t="n"/>
      <c r="H19" s="23">
        <f>IFERROR((G19-F19)/INPUTS!B22,"-")</f>
        <v/>
      </c>
      <c r="I19" s="50" t="inlineStr"/>
      <c r="J19" s="18" t="inlineStr"/>
    </row>
    <row r="20"/>
    <row r="21">
      <c r="B21" s="51" t="inlineStr"/>
      <c r="C21" s="29" t="inlineStr">
        <is>
          <t>Total MOIC Delta (Sum of Drivers)</t>
        </is>
      </c>
      <c r="D21" s="51" t="inlineStr"/>
      <c r="E21" s="51" t="inlineStr"/>
      <c r="F21" s="51" t="inlineStr"/>
      <c r="G21" s="51" t="inlineStr"/>
      <c r="H21" s="52">
        <f>SUM(H7:H20)</f>
        <v/>
      </c>
    </row>
  </sheetData>
  <mergeCells count="2">
    <mergeCell ref="B2:I2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6" customWidth="1" min="4" max="4"/>
    <col width="16" customWidth="1" min="5" max="5"/>
    <col width="14" customWidth="1" min="6" max="6"/>
    <col width="14" customWidth="1" min="7" max="7"/>
    <col width="28" customWidth="1" min="8" max="8"/>
    <col width="28" customWidth="1" min="9" max="9"/>
    <col width="14" customWidth="1" min="10" max="10"/>
    <col width="14" customWidth="1" min="11" max="11"/>
    <col width="3" customWidth="1" min="12" max="12"/>
  </cols>
  <sheetData>
    <row r="1"/>
    <row r="2">
      <c r="B2" s="1" t="inlineStr">
        <is>
          <t>NTB Registry — Evidence Tracking &amp; MOIC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B4" s="25" t="inlineStr">
        <is>
          <t>Track evidence status for each NTB. MOIC sum must be within ±15% of total MOIC (INPUTS tab). Red = gap requiring resolution before Phase 4 draft.</t>
        </is>
      </c>
    </row>
    <row r="5"/>
    <row r="6">
      <c r="B6" s="53" t="inlineStr">
        <is>
          <t>MOIC Tolerance Check:</t>
        </is>
      </c>
      <c r="D6" s="54">
        <f>IFERROR(SUM(F10:F16)/INPUTS!B22,"-")</f>
        <v/>
      </c>
      <c r="E6" s="55">
        <f>IFERROR(IF(ABS(SUM(F10:F16)/INPUTS!B22 - INPUTS!B22/INPUTS!B22)&lt;=0.15,"PASS — within ±15%","WARN — outside ±15%"),"-")</f>
        <v/>
      </c>
    </row>
    <row r="7">
      <c r="B7" s="6" t="inlineStr">
        <is>
          <t>#</t>
        </is>
      </c>
      <c r="C7" s="6" t="inlineStr">
        <is>
          <t>NTB Statement</t>
        </is>
      </c>
      <c r="D7" s="6" t="inlineStr">
        <is>
          <t>Evidence Status</t>
        </is>
      </c>
      <c r="E7" s="6" t="inlineStr">
        <is>
          <t>Boundability</t>
        </is>
      </c>
      <c r="F7" s="6" t="inlineStr">
        <is>
          <t>MOIC Impact ($M)</t>
        </is>
      </c>
      <c r="G7" s="6" t="inlineStr">
        <is>
          <t>MOIC (x)</t>
        </is>
      </c>
      <c r="H7" s="6" t="inlineStr">
        <is>
          <t>Primary Risk</t>
        </is>
      </c>
      <c r="I7" s="6" t="inlineStr">
        <is>
          <t>Information Gaps</t>
        </is>
      </c>
      <c r="J7" s="6" t="inlineStr">
        <is>
          <t>Owner</t>
        </is>
      </c>
      <c r="K7" s="6" t="inlineStr">
        <is>
          <t>Due Date</t>
        </is>
      </c>
    </row>
    <row r="8">
      <c r="B8" s="26" t="inlineStr">
        <is>
          <t>NTB 1</t>
        </is>
      </c>
      <c r="C8" s="56">
        <f>INPUTS!C54</f>
        <v/>
      </c>
      <c r="D8" s="18" t="inlineStr">
        <is>
          <t>Not yet assessed</t>
        </is>
      </c>
      <c r="E8" s="18" t="inlineStr"/>
      <c r="F8" s="19" t="n"/>
      <c r="G8" s="23">
        <f>IFERROR(F8/INPUTS!B22,"-")</f>
        <v/>
      </c>
      <c r="H8" s="18" t="inlineStr"/>
      <c r="I8" s="18" t="inlineStr"/>
      <c r="J8" s="18" t="inlineStr"/>
      <c r="K8" s="18" t="inlineStr"/>
    </row>
    <row r="9">
      <c r="B9" s="27" t="inlineStr">
        <is>
          <t>NTB 2</t>
        </is>
      </c>
      <c r="C9" s="57">
        <f>INPUTS!C55</f>
        <v/>
      </c>
      <c r="D9" s="18" t="inlineStr">
        <is>
          <t>Not yet assessed</t>
        </is>
      </c>
      <c r="E9" s="18" t="inlineStr"/>
      <c r="F9" s="19" t="n"/>
      <c r="G9" s="23">
        <f>IFERROR(F9/INPUTS!B22,"-")</f>
        <v/>
      </c>
      <c r="H9" s="18" t="inlineStr"/>
      <c r="I9" s="18" t="inlineStr"/>
      <c r="J9" s="18" t="inlineStr"/>
      <c r="K9" s="18" t="inlineStr"/>
    </row>
    <row r="10">
      <c r="B10" s="26" t="inlineStr">
        <is>
          <t>NTB 3</t>
        </is>
      </c>
      <c r="C10" s="56">
        <f>INPUTS!C56</f>
        <v/>
      </c>
      <c r="D10" s="18" t="inlineStr">
        <is>
          <t>Not yet assessed</t>
        </is>
      </c>
      <c r="E10" s="18" t="inlineStr"/>
      <c r="F10" s="19" t="n"/>
      <c r="G10" s="23">
        <f>IFERROR(F10/INPUTS!B22,"-")</f>
        <v/>
      </c>
      <c r="H10" s="18" t="inlineStr"/>
      <c r="I10" s="18" t="inlineStr"/>
      <c r="J10" s="18" t="inlineStr"/>
      <c r="K10" s="18" t="inlineStr"/>
    </row>
    <row r="11">
      <c r="B11" s="27" t="inlineStr">
        <is>
          <t>NTB 4</t>
        </is>
      </c>
      <c r="C11" s="57">
        <f>INPUTS!C57</f>
        <v/>
      </c>
      <c r="D11" s="18" t="inlineStr">
        <is>
          <t>Not yet assessed</t>
        </is>
      </c>
      <c r="E11" s="18" t="inlineStr"/>
      <c r="F11" s="19" t="n"/>
      <c r="G11" s="23">
        <f>IFERROR(F11/INPUTS!B22,"-")</f>
        <v/>
      </c>
      <c r="H11" s="18" t="inlineStr"/>
      <c r="I11" s="18" t="inlineStr"/>
      <c r="J11" s="18" t="inlineStr"/>
      <c r="K11" s="18" t="inlineStr"/>
    </row>
    <row r="12">
      <c r="B12" s="26" t="inlineStr">
        <is>
          <t>NTB 5</t>
        </is>
      </c>
      <c r="C12" s="56">
        <f>INPUTS!C58</f>
        <v/>
      </c>
      <c r="D12" s="18" t="inlineStr">
        <is>
          <t>Not yet assessed</t>
        </is>
      </c>
      <c r="E12" s="18" t="inlineStr"/>
      <c r="F12" s="19" t="n"/>
      <c r="G12" s="23">
        <f>IFERROR(F12/INPUTS!B22,"-")</f>
        <v/>
      </c>
      <c r="H12" s="18" t="inlineStr"/>
      <c r="I12" s="18" t="inlineStr"/>
      <c r="J12" s="18" t="inlineStr"/>
      <c r="K12" s="18" t="inlineStr"/>
    </row>
    <row r="13">
      <c r="B13" s="27" t="inlineStr">
        <is>
          <t>NTB 6</t>
        </is>
      </c>
      <c r="C13" s="57">
        <f>INPUTS!C59</f>
        <v/>
      </c>
      <c r="D13" s="18" t="inlineStr">
        <is>
          <t>Not yet assessed</t>
        </is>
      </c>
      <c r="E13" s="18" t="inlineStr"/>
      <c r="F13" s="19" t="n"/>
      <c r="G13" s="23">
        <f>IFERROR(F13/INPUTS!B22,"-")</f>
        <v/>
      </c>
      <c r="H13" s="18" t="inlineStr"/>
      <c r="I13" s="18" t="inlineStr"/>
      <c r="J13" s="18" t="inlineStr"/>
      <c r="K13" s="18" t="inlineStr"/>
    </row>
    <row r="14">
      <c r="B14" s="26" t="inlineStr">
        <is>
          <t>NTB 7</t>
        </is>
      </c>
      <c r="C14" s="56">
        <f>INPUTS!C60</f>
        <v/>
      </c>
      <c r="D14" s="18" t="inlineStr">
        <is>
          <t>Not yet assessed</t>
        </is>
      </c>
      <c r="E14" s="18" t="inlineStr"/>
      <c r="F14" s="19" t="n"/>
      <c r="G14" s="23">
        <f>IFERROR(F14/INPUTS!B22,"-")</f>
        <v/>
      </c>
      <c r="H14" s="18" t="inlineStr"/>
      <c r="I14" s="18" t="inlineStr"/>
      <c r="J14" s="18" t="inlineStr"/>
      <c r="K14" s="18" t="inlineStr"/>
    </row>
    <row r="15"/>
    <row r="16">
      <c r="B16" s="51" t="inlineStr"/>
      <c r="C16" s="29" t="inlineStr">
        <is>
          <t>Total</t>
        </is>
      </c>
      <c r="D16" s="51" t="inlineStr"/>
      <c r="E16" s="51" t="inlineStr"/>
      <c r="F16" s="30">
        <f>SUM(F8:F15)</f>
        <v/>
      </c>
      <c r="G16" s="52">
        <f>SUM(G8:G15)</f>
        <v/>
      </c>
      <c r="H16" s="51" t="inlineStr"/>
      <c r="I16" s="51" t="inlineStr"/>
      <c r="J16" s="51" t="inlineStr"/>
      <c r="K16" s="51" t="inlineStr"/>
    </row>
  </sheetData>
  <mergeCells count="3">
    <mergeCell ref="B4:J4"/>
    <mergeCell ref="B6:C6"/>
    <mergeCell ref="B2:J2"/>
  </mergeCells>
  <dataValidations count="7">
    <dataValidation sqref="D8" showDropDown="0" showInputMessage="0" showErrorMessage="0" allowBlank="0" type="list">
      <formula1>"Confirmed,Partial — needs more,Gap — critical,Not yet assessed"</formula1>
    </dataValidation>
    <dataValidation sqref="D9" showDropDown="0" showInputMessage="0" showErrorMessage="0" allowBlank="0" type="list">
      <formula1>"Confirmed,Partial — needs more,Gap — critical,Not yet assessed"</formula1>
    </dataValidation>
    <dataValidation sqref="D10" showDropDown="0" showInputMessage="0" showErrorMessage="0" allowBlank="0" type="list">
      <formula1>"Confirmed,Partial — needs more,Gap — critical,Not yet assessed"</formula1>
    </dataValidation>
    <dataValidation sqref="D11" showDropDown="0" showInputMessage="0" showErrorMessage="0" allowBlank="0" type="list">
      <formula1>"Confirmed,Partial — needs more,Gap — critical,Not yet assessed"</formula1>
    </dataValidation>
    <dataValidation sqref="D12" showDropDown="0" showInputMessage="0" showErrorMessage="0" allowBlank="0" type="list">
      <formula1>"Confirmed,Partial — needs more,Gap — critical,Not yet assessed"</formula1>
    </dataValidation>
    <dataValidation sqref="D13" showDropDown="0" showInputMessage="0" showErrorMessage="0" allowBlank="0" type="list">
      <formula1>"Confirmed,Partial — needs more,Gap — critical,Not yet assessed"</formula1>
    </dataValidation>
    <dataValidation sqref="D14" showDropDown="0" showInputMessage="0" showErrorMessage="0" allowBlank="0" type="list">
      <formula1>"Confirmed,Partial — needs more,Gap — critical,Not yet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18" customWidth="1" min="4" max="4"/>
    <col width="2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3" customWidth="1" min="13" max="13"/>
  </cols>
  <sheetData>
    <row r="1"/>
    <row r="2">
      <c r="B2" s="1" t="inlineStr">
        <is>
          <t>KPI Tree — Management Plan Audit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/>
    <row r="4">
      <c r="B4" s="25" t="inlineStr">
        <is>
          <t>Map management KPIs to financial model line items. Use this to audit budget credibility and track post-close. Green = on track. Orange = watch. Red = behind plan.</t>
        </is>
      </c>
    </row>
    <row r="5"/>
    <row r="6">
      <c r="B6" s="6" t="inlineStr">
        <is>
          <t>Lvl</t>
        </is>
      </c>
      <c r="C6" s="6" t="inlineStr">
        <is>
          <t>KPI Name</t>
        </is>
      </c>
      <c r="D6" s="6" t="inlineStr">
        <is>
          <t>Category</t>
        </is>
      </c>
      <c r="E6" s="6" t="inlineStr">
        <is>
          <t>Financial Model Line</t>
        </is>
      </c>
      <c r="F6" s="6" t="inlineStr">
        <is>
          <t>Frequency</t>
        </is>
      </c>
      <c r="G6" s="6" t="inlineStr">
        <is>
          <t>Budget</t>
        </is>
      </c>
      <c r="H6" s="6" t="inlineStr">
        <is>
          <t>Actual</t>
        </is>
      </c>
      <c r="I6" s="6" t="inlineStr">
        <is>
          <t>Variance ($)</t>
        </is>
      </c>
      <c r="J6" s="6" t="inlineStr">
        <is>
          <t>Variance %</t>
        </is>
      </c>
      <c r="K6" s="6" t="inlineStr">
        <is>
          <t>Status</t>
        </is>
      </c>
      <c r="L6" s="6" t="inlineStr">
        <is>
          <t>Notes</t>
        </is>
      </c>
    </row>
    <row r="7">
      <c r="B7" s="41" t="inlineStr">
        <is>
          <t>NS</t>
        </is>
      </c>
      <c r="C7" s="29" t="inlineStr">
        <is>
          <t>NORTH STAR METRIC</t>
        </is>
      </c>
      <c r="D7" s="42" t="inlineStr">
        <is>
          <t>Growth</t>
        </is>
      </c>
      <c r="E7" s="58" t="inlineStr"/>
      <c r="F7" s="42" t="inlineStr">
        <is>
          <t>Annual</t>
        </is>
      </c>
      <c r="G7" s="19" t="n"/>
      <c r="H7" s="19" t="n"/>
      <c r="I7" s="22">
        <f>IFERROR(H7-G7,"-")</f>
        <v/>
      </c>
      <c r="J7" s="59">
        <f>IFERROR(I7/G7,"-")</f>
        <v/>
      </c>
      <c r="K7" s="18" t="inlineStr">
        <is>
          <t>N/A</t>
        </is>
      </c>
      <c r="L7" s="18" t="inlineStr"/>
    </row>
    <row r="8">
      <c r="B8" s="26" t="n">
        <v>1</v>
      </c>
      <c r="C8" s="60" t="inlineStr">
        <is>
          <t>Revenue</t>
        </is>
      </c>
      <c r="D8" s="46" t="inlineStr">
        <is>
          <t>Growth</t>
        </is>
      </c>
      <c r="E8" s="10" t="inlineStr">
        <is>
          <t>Financial Model!C8</t>
        </is>
      </c>
      <c r="F8" s="46" t="inlineStr">
        <is>
          <t>Monthly</t>
        </is>
      </c>
      <c r="G8" s="19" t="n"/>
      <c r="H8" s="19" t="n"/>
      <c r="I8" s="22">
        <f>IFERROR(H8-G8,"-")</f>
        <v/>
      </c>
      <c r="J8" s="59">
        <f>IFERROR(I8/G8,"-")</f>
        <v/>
      </c>
      <c r="K8" s="18" t="inlineStr">
        <is>
          <t>N/A</t>
        </is>
      </c>
      <c r="L8" s="18" t="inlineStr"/>
    </row>
    <row r="9">
      <c r="B9" s="48" t="n">
        <v>2</v>
      </c>
      <c r="C9" s="12" t="inlineStr">
        <is>
          <t xml:space="preserve">  ARR / Recurring Rev</t>
        </is>
      </c>
      <c r="D9" s="49" t="inlineStr">
        <is>
          <t>Growth</t>
        </is>
      </c>
      <c r="E9" s="8" t="inlineStr"/>
      <c r="F9" s="49" t="inlineStr">
        <is>
          <t>Monthly</t>
        </is>
      </c>
      <c r="G9" s="19" t="n"/>
      <c r="H9" s="19" t="n"/>
      <c r="I9" s="22">
        <f>IFERROR(H9-G9,"-")</f>
        <v/>
      </c>
      <c r="J9" s="59">
        <f>IFERROR(I9/G9,"-")</f>
        <v/>
      </c>
      <c r="K9" s="18" t="inlineStr">
        <is>
          <t>N/A</t>
        </is>
      </c>
      <c r="L9" s="18" t="inlineStr"/>
    </row>
    <row r="10">
      <c r="B10" s="44" t="n">
        <v>2</v>
      </c>
      <c r="C10" s="45" t="inlineStr">
        <is>
          <t xml:space="preserve">  New Logo ARR</t>
        </is>
      </c>
      <c r="D10" s="46" t="inlineStr">
        <is>
          <t>Growth</t>
        </is>
      </c>
      <c r="E10" s="10" t="inlineStr"/>
      <c r="F10" s="46" t="inlineStr">
        <is>
          <t>Monthly</t>
        </is>
      </c>
      <c r="G10" s="19" t="n"/>
      <c r="H10" s="19" t="n"/>
      <c r="I10" s="22">
        <f>IFERROR(H10-G10,"-")</f>
        <v/>
      </c>
      <c r="J10" s="59">
        <f>IFERROR(I10/G10,"-")</f>
        <v/>
      </c>
      <c r="K10" s="18" t="inlineStr">
        <is>
          <t>N/A</t>
        </is>
      </c>
      <c r="L10" s="18" t="inlineStr"/>
    </row>
    <row r="11">
      <c r="B11" s="48" t="n">
        <v>2</v>
      </c>
      <c r="C11" s="12" t="inlineStr">
        <is>
          <t xml:space="preserve">  Expansion ARR</t>
        </is>
      </c>
      <c r="D11" s="49" t="inlineStr">
        <is>
          <t>Growth</t>
        </is>
      </c>
      <c r="E11" s="8" t="inlineStr"/>
      <c r="F11" s="49" t="inlineStr">
        <is>
          <t>Monthly</t>
        </is>
      </c>
      <c r="G11" s="19" t="n"/>
      <c r="H11" s="19" t="n"/>
      <c r="I11" s="22">
        <f>IFERROR(H11-G11,"-")</f>
        <v/>
      </c>
      <c r="J11" s="59">
        <f>IFERROR(I11/G11,"-")</f>
        <v/>
      </c>
      <c r="K11" s="18" t="inlineStr">
        <is>
          <t>N/A</t>
        </is>
      </c>
      <c r="L11" s="18" t="inlineStr"/>
    </row>
    <row r="12">
      <c r="B12" s="44" t="n">
        <v>2</v>
      </c>
      <c r="C12" s="45" t="inlineStr">
        <is>
          <t xml:space="preserve">  Churn ARR</t>
        </is>
      </c>
      <c r="D12" s="46" t="inlineStr">
        <is>
          <t>Retention</t>
        </is>
      </c>
      <c r="E12" s="10" t="inlineStr"/>
      <c r="F12" s="46" t="inlineStr">
        <is>
          <t>Monthly</t>
        </is>
      </c>
      <c r="G12" s="19" t="n"/>
      <c r="H12" s="19" t="n"/>
      <c r="I12" s="22">
        <f>IFERROR(H12-G12,"-")</f>
        <v/>
      </c>
      <c r="J12" s="59">
        <f>IFERROR(I12/G12,"-")</f>
        <v/>
      </c>
      <c r="K12" s="18" t="inlineStr">
        <is>
          <t>N/A</t>
        </is>
      </c>
      <c r="L12" s="18" t="inlineStr"/>
    </row>
    <row r="13">
      <c r="B13" s="27" t="n">
        <v>1</v>
      </c>
      <c r="C13" s="61" t="inlineStr">
        <is>
          <t>Gross Margin</t>
        </is>
      </c>
      <c r="D13" s="49" t="inlineStr">
        <is>
          <t>Margin</t>
        </is>
      </c>
      <c r="E13" s="8" t="inlineStr">
        <is>
          <t>Financial Model!C13</t>
        </is>
      </c>
      <c r="F13" s="49" t="inlineStr">
        <is>
          <t>Monthly</t>
        </is>
      </c>
      <c r="G13" s="19" t="n"/>
      <c r="H13" s="19" t="n"/>
      <c r="I13" s="22">
        <f>IFERROR(H13-G13,"-")</f>
        <v/>
      </c>
      <c r="J13" s="59">
        <f>IFERROR(I13/G13,"-")</f>
        <v/>
      </c>
      <c r="K13" s="18" t="inlineStr">
        <is>
          <t>N/A</t>
        </is>
      </c>
      <c r="L13" s="18" t="inlineStr"/>
    </row>
    <row r="14">
      <c r="B14" s="44" t="n">
        <v>2</v>
      </c>
      <c r="C14" s="45" t="inlineStr">
        <is>
          <t xml:space="preserve">  COGS per Unit</t>
        </is>
      </c>
      <c r="D14" s="46" t="inlineStr">
        <is>
          <t>Margin</t>
        </is>
      </c>
      <c r="E14" s="10" t="inlineStr"/>
      <c r="F14" s="46" t="inlineStr">
        <is>
          <t>Monthly</t>
        </is>
      </c>
      <c r="G14" s="19" t="n"/>
      <c r="H14" s="19" t="n"/>
      <c r="I14" s="22">
        <f>IFERROR(H14-G14,"-")</f>
        <v/>
      </c>
      <c r="J14" s="59">
        <f>IFERROR(I14/G14,"-")</f>
        <v/>
      </c>
      <c r="K14" s="18" t="inlineStr">
        <is>
          <t>N/A</t>
        </is>
      </c>
      <c r="L14" s="18" t="inlineStr"/>
    </row>
    <row r="15">
      <c r="B15" s="48" t="n">
        <v>2</v>
      </c>
      <c r="C15" s="12" t="inlineStr">
        <is>
          <t xml:space="preserve">  Hosting/Infrastructure</t>
        </is>
      </c>
      <c r="D15" s="49" t="inlineStr">
        <is>
          <t>Margin</t>
        </is>
      </c>
      <c r="E15" s="8" t="inlineStr"/>
      <c r="F15" s="49" t="inlineStr">
        <is>
          <t>Monthly</t>
        </is>
      </c>
      <c r="G15" s="19" t="n"/>
      <c r="H15" s="19" t="n"/>
      <c r="I15" s="22">
        <f>IFERROR(H15-G15,"-")</f>
        <v/>
      </c>
      <c r="J15" s="59">
        <f>IFERROR(I15/G15,"-")</f>
        <v/>
      </c>
      <c r="K15" s="18" t="inlineStr">
        <is>
          <t>N/A</t>
        </is>
      </c>
      <c r="L15" s="18" t="inlineStr"/>
    </row>
    <row r="16">
      <c r="B16" s="26" t="n">
        <v>1</v>
      </c>
      <c r="C16" s="60" t="inlineStr">
        <is>
          <t>EBITDA</t>
        </is>
      </c>
      <c r="D16" s="46" t="inlineStr">
        <is>
          <t>Margin</t>
        </is>
      </c>
      <c r="E16" s="10" t="inlineStr">
        <is>
          <t>Financial Model!C16</t>
        </is>
      </c>
      <c r="F16" s="46" t="inlineStr">
        <is>
          <t>Monthly</t>
        </is>
      </c>
      <c r="G16" s="19" t="n"/>
      <c r="H16" s="19" t="n"/>
      <c r="I16" s="22">
        <f>IFERROR(H16-G16,"-")</f>
        <v/>
      </c>
      <c r="J16" s="59">
        <f>IFERROR(I16/G16,"-")</f>
        <v/>
      </c>
      <c r="K16" s="18" t="inlineStr">
        <is>
          <t>N/A</t>
        </is>
      </c>
      <c r="L16" s="18" t="inlineStr"/>
    </row>
    <row r="17">
      <c r="B17" s="48" t="n">
        <v>2</v>
      </c>
      <c r="C17" s="12" t="inlineStr">
        <is>
          <t xml:space="preserve">  S&amp;M Efficiency (CAC)</t>
        </is>
      </c>
      <c r="D17" s="49" t="inlineStr">
        <is>
          <t>Efficiency</t>
        </is>
      </c>
      <c r="E17" s="8" t="inlineStr"/>
      <c r="F17" s="49" t="inlineStr">
        <is>
          <t>Monthly</t>
        </is>
      </c>
      <c r="G17" s="19" t="n"/>
      <c r="H17" s="19" t="n"/>
      <c r="I17" s="22">
        <f>IFERROR(H17-G17,"-")</f>
        <v/>
      </c>
      <c r="J17" s="59">
        <f>IFERROR(I17/G17,"-")</f>
        <v/>
      </c>
      <c r="K17" s="18" t="inlineStr">
        <is>
          <t>N/A</t>
        </is>
      </c>
      <c r="L17" s="18" t="inlineStr"/>
    </row>
    <row r="18">
      <c r="B18" s="44" t="n">
        <v>2</v>
      </c>
      <c r="C18" s="45" t="inlineStr">
        <is>
          <t xml:space="preserve">  R&amp;D % Revenue</t>
        </is>
      </c>
      <c r="D18" s="46" t="inlineStr">
        <is>
          <t>Efficiency</t>
        </is>
      </c>
      <c r="E18" s="10" t="inlineStr"/>
      <c r="F18" s="46" t="inlineStr">
        <is>
          <t>Monthly</t>
        </is>
      </c>
      <c r="G18" s="19" t="n"/>
      <c r="H18" s="19" t="n"/>
      <c r="I18" s="22">
        <f>IFERROR(H18-G18,"-")</f>
        <v/>
      </c>
      <c r="J18" s="59">
        <f>IFERROR(I18/G18,"-")</f>
        <v/>
      </c>
      <c r="K18" s="18" t="inlineStr">
        <is>
          <t>N/A</t>
        </is>
      </c>
      <c r="L18" s="18" t="inlineStr"/>
    </row>
    <row r="19">
      <c r="B19" s="48" t="n">
        <v>2</v>
      </c>
      <c r="C19" s="12" t="inlineStr">
        <is>
          <t xml:space="preserve">  G&amp;A % Revenue</t>
        </is>
      </c>
      <c r="D19" s="49" t="inlineStr">
        <is>
          <t>Efficiency</t>
        </is>
      </c>
      <c r="E19" s="8" t="inlineStr"/>
      <c r="F19" s="49" t="inlineStr">
        <is>
          <t>Monthly</t>
        </is>
      </c>
      <c r="G19" s="19" t="n"/>
      <c r="H19" s="19" t="n"/>
      <c r="I19" s="22">
        <f>IFERROR(H19-G19,"-")</f>
        <v/>
      </c>
      <c r="J19" s="59">
        <f>IFERROR(I19/G19,"-")</f>
        <v/>
      </c>
      <c r="K19" s="18" t="inlineStr">
        <is>
          <t>N/A</t>
        </is>
      </c>
      <c r="L19" s="18" t="inlineStr"/>
    </row>
    <row r="20">
      <c r="B20" s="26" t="n">
        <v>1</v>
      </c>
      <c r="C20" s="60" t="inlineStr">
        <is>
          <t>Customer Metrics</t>
        </is>
      </c>
      <c r="D20" s="46" t="inlineStr">
        <is>
          <t>Retention</t>
        </is>
      </c>
      <c r="E20" s="10" t="inlineStr"/>
      <c r="F20" s="46" t="inlineStr">
        <is>
          <t>Quarterly</t>
        </is>
      </c>
      <c r="G20" s="19" t="n"/>
      <c r="H20" s="19" t="n"/>
      <c r="I20" s="22">
        <f>IFERROR(H20-G20,"-")</f>
        <v/>
      </c>
      <c r="J20" s="59">
        <f>IFERROR(I20/G20,"-")</f>
        <v/>
      </c>
      <c r="K20" s="18" t="inlineStr">
        <is>
          <t>N/A</t>
        </is>
      </c>
      <c r="L20" s="18" t="inlineStr"/>
    </row>
    <row r="21">
      <c r="B21" s="48" t="n">
        <v>2</v>
      </c>
      <c r="C21" s="12" t="inlineStr">
        <is>
          <t xml:space="preserve">  Net Revenue Retention</t>
        </is>
      </c>
      <c r="D21" s="49" t="inlineStr">
        <is>
          <t>Retention</t>
        </is>
      </c>
      <c r="E21" s="8" t="inlineStr"/>
      <c r="F21" s="49" t="inlineStr">
        <is>
          <t>Quarterly</t>
        </is>
      </c>
      <c r="G21" s="19" t="n"/>
      <c r="H21" s="19" t="n"/>
      <c r="I21" s="22">
        <f>IFERROR(H21-G21,"-")</f>
        <v/>
      </c>
      <c r="J21" s="59">
        <f>IFERROR(I21/G21,"-")</f>
        <v/>
      </c>
      <c r="K21" s="18" t="inlineStr">
        <is>
          <t>N/A</t>
        </is>
      </c>
      <c r="L21" s="18" t="inlineStr"/>
    </row>
    <row r="22">
      <c r="B22" s="44" t="n">
        <v>2</v>
      </c>
      <c r="C22" s="45" t="inlineStr">
        <is>
          <t xml:space="preserve">  Gross Revenue Retention</t>
        </is>
      </c>
      <c r="D22" s="46" t="inlineStr">
        <is>
          <t>Retention</t>
        </is>
      </c>
      <c r="E22" s="10" t="inlineStr"/>
      <c r="F22" s="46" t="inlineStr">
        <is>
          <t>Quarterly</t>
        </is>
      </c>
      <c r="G22" s="19" t="n"/>
      <c r="H22" s="19" t="n"/>
      <c r="I22" s="22">
        <f>IFERROR(H22-G22,"-")</f>
        <v/>
      </c>
      <c r="J22" s="59">
        <f>IFERROR(I22/G22,"-")</f>
        <v/>
      </c>
      <c r="K22" s="18" t="inlineStr">
        <is>
          <t>N/A</t>
        </is>
      </c>
      <c r="L22" s="18" t="inlineStr"/>
    </row>
    <row r="23">
      <c r="B23" s="48" t="n">
        <v>2</v>
      </c>
      <c r="C23" s="12" t="inlineStr">
        <is>
          <t xml:space="preserve">  NPS Score</t>
        </is>
      </c>
      <c r="D23" s="49" t="inlineStr">
        <is>
          <t>Retention</t>
        </is>
      </c>
      <c r="E23" s="8" t="inlineStr"/>
      <c r="F23" s="49" t="inlineStr">
        <is>
          <t>Quarterly</t>
        </is>
      </c>
      <c r="G23" s="19" t="n"/>
      <c r="H23" s="19" t="n"/>
      <c r="I23" s="22">
        <f>IFERROR(H23-G23,"-")</f>
        <v/>
      </c>
      <c r="J23" s="59">
        <f>IFERROR(I23/G23,"-")</f>
        <v/>
      </c>
      <c r="K23" s="18" t="inlineStr">
        <is>
          <t>N/A</t>
        </is>
      </c>
      <c r="L23" s="18" t="inlineStr"/>
    </row>
    <row r="24">
      <c r="B24" s="26" t="n">
        <v>1</v>
      </c>
      <c r="C24" s="60" t="inlineStr">
        <is>
          <t>Go-to-Market</t>
        </is>
      </c>
      <c r="D24" s="46" t="inlineStr">
        <is>
          <t>Growth</t>
        </is>
      </c>
      <c r="E24" s="10" t="inlineStr"/>
      <c r="F24" s="46" t="inlineStr">
        <is>
          <t>Monthly</t>
        </is>
      </c>
      <c r="G24" s="19" t="n"/>
      <c r="H24" s="19" t="n"/>
      <c r="I24" s="22">
        <f>IFERROR(H24-G24,"-")</f>
        <v/>
      </c>
      <c r="J24" s="59">
        <f>IFERROR(I24/G24,"-")</f>
        <v/>
      </c>
      <c r="K24" s="18" t="inlineStr">
        <is>
          <t>N/A</t>
        </is>
      </c>
      <c r="L24" s="18" t="inlineStr"/>
    </row>
    <row r="25">
      <c r="B25" s="48" t="n">
        <v>2</v>
      </c>
      <c r="C25" s="12" t="inlineStr">
        <is>
          <t xml:space="preserve">  Pipeline Coverage</t>
        </is>
      </c>
      <c r="D25" s="49" t="inlineStr">
        <is>
          <t>Growth</t>
        </is>
      </c>
      <c r="E25" s="8" t="inlineStr"/>
      <c r="F25" s="49" t="inlineStr">
        <is>
          <t>Monthly</t>
        </is>
      </c>
      <c r="G25" s="19" t="n"/>
      <c r="H25" s="19" t="n"/>
      <c r="I25" s="22">
        <f>IFERROR(H25-G25,"-")</f>
        <v/>
      </c>
      <c r="J25" s="59">
        <f>IFERROR(I25/G25,"-")</f>
        <v/>
      </c>
      <c r="K25" s="18" t="inlineStr">
        <is>
          <t>N/A</t>
        </is>
      </c>
      <c r="L25" s="18" t="inlineStr"/>
    </row>
    <row r="26">
      <c r="B26" s="44" t="n">
        <v>2</v>
      </c>
      <c r="C26" s="45" t="inlineStr">
        <is>
          <t xml:space="preserve">  Win Rate %</t>
        </is>
      </c>
      <c r="D26" s="46" t="inlineStr">
        <is>
          <t>Growth</t>
        </is>
      </c>
      <c r="E26" s="10" t="inlineStr"/>
      <c r="F26" s="46" t="inlineStr">
        <is>
          <t>Monthly</t>
        </is>
      </c>
      <c r="G26" s="19" t="n"/>
      <c r="H26" s="19" t="n"/>
      <c r="I26" s="22">
        <f>IFERROR(H26-G26,"-")</f>
        <v/>
      </c>
      <c r="J26" s="59">
        <f>IFERROR(I26/G26,"-")</f>
        <v/>
      </c>
      <c r="K26" s="18" t="inlineStr">
        <is>
          <t>N/A</t>
        </is>
      </c>
      <c r="L26" s="18" t="inlineStr"/>
    </row>
    <row r="27">
      <c r="B27" s="48" t="n">
        <v>2</v>
      </c>
      <c r="C27" s="12" t="inlineStr">
        <is>
          <t xml:space="preserve">  ACV per Deal ($K)</t>
        </is>
      </c>
      <c r="D27" s="49" t="inlineStr">
        <is>
          <t>Growth</t>
        </is>
      </c>
      <c r="E27" s="8" t="inlineStr"/>
      <c r="F27" s="49" t="inlineStr">
        <is>
          <t>Monthly</t>
        </is>
      </c>
      <c r="G27" s="19" t="n"/>
      <c r="H27" s="19" t="n"/>
      <c r="I27" s="22">
        <f>IFERROR(H27-G27,"-")</f>
        <v/>
      </c>
      <c r="J27" s="59">
        <f>IFERROR(I27/G27,"-")</f>
        <v/>
      </c>
      <c r="K27" s="18" t="inlineStr">
        <is>
          <t>N/A</t>
        </is>
      </c>
      <c r="L27" s="18" t="inlineStr"/>
    </row>
    <row r="28">
      <c r="B28" s="44" t="n">
        <v>2</v>
      </c>
      <c r="C28" s="45" t="inlineStr">
        <is>
          <t xml:space="preserve">  Sales Cycle (Days)</t>
        </is>
      </c>
      <c r="D28" s="46" t="inlineStr">
        <is>
          <t>Growth</t>
        </is>
      </c>
      <c r="E28" s="10" t="inlineStr"/>
      <c r="F28" s="46" t="inlineStr">
        <is>
          <t>Monthly</t>
        </is>
      </c>
      <c r="G28" s="19" t="n"/>
      <c r="H28" s="19" t="n"/>
      <c r="I28" s="22">
        <f>IFERROR(H28-G28,"-")</f>
        <v/>
      </c>
      <c r="J28" s="59">
        <f>IFERROR(I28/G28,"-")</f>
        <v/>
      </c>
      <c r="K28" s="18" t="inlineStr">
        <is>
          <t>N/A</t>
        </is>
      </c>
      <c r="L28" s="18" t="inlineStr"/>
    </row>
    <row r="29">
      <c r="B29" s="27" t="n">
        <v>1</v>
      </c>
      <c r="C29" s="61" t="inlineStr">
        <is>
          <t>Free Cash Flow</t>
        </is>
      </c>
      <c r="D29" s="49" t="inlineStr">
        <is>
          <t>Cash</t>
        </is>
      </c>
      <c r="E29" s="8" t="inlineStr">
        <is>
          <t>Financial Model!C29</t>
        </is>
      </c>
      <c r="F29" s="49" t="inlineStr">
        <is>
          <t>Monthly</t>
        </is>
      </c>
      <c r="G29" s="19" t="n"/>
      <c r="H29" s="19" t="n"/>
      <c r="I29" s="22">
        <f>IFERROR(H29-G29,"-")</f>
        <v/>
      </c>
      <c r="J29" s="59">
        <f>IFERROR(I29/G29,"-")</f>
        <v/>
      </c>
      <c r="K29" s="18" t="inlineStr">
        <is>
          <t>N/A</t>
        </is>
      </c>
      <c r="L29" s="18" t="inlineStr"/>
    </row>
    <row r="30">
      <c r="B30" s="44" t="n">
        <v>2</v>
      </c>
      <c r="C30" s="45" t="inlineStr">
        <is>
          <t xml:space="preserve">  Capex / Revenue</t>
        </is>
      </c>
      <c r="D30" s="46" t="inlineStr">
        <is>
          <t>Cash</t>
        </is>
      </c>
      <c r="E30" s="10" t="inlineStr"/>
      <c r="F30" s="46" t="inlineStr">
        <is>
          <t>Monthly</t>
        </is>
      </c>
      <c r="G30" s="19" t="n"/>
      <c r="H30" s="19" t="n"/>
      <c r="I30" s="22">
        <f>IFERROR(H30-G30,"-")</f>
        <v/>
      </c>
      <c r="J30" s="59">
        <f>IFERROR(I30/G30,"-")</f>
        <v/>
      </c>
      <c r="K30" s="18" t="inlineStr">
        <is>
          <t>N/A</t>
        </is>
      </c>
      <c r="L30" s="18" t="inlineStr"/>
    </row>
    <row r="31">
      <c r="B31" s="48" t="n">
        <v>2</v>
      </c>
      <c r="C31" s="12" t="inlineStr">
        <is>
          <t xml:space="preserve">  DSO (Days)</t>
        </is>
      </c>
      <c r="D31" s="49" t="inlineStr">
        <is>
          <t>Cash</t>
        </is>
      </c>
      <c r="E31" s="8" t="inlineStr"/>
      <c r="F31" s="49" t="inlineStr">
        <is>
          <t>Monthly</t>
        </is>
      </c>
      <c r="G31" s="19" t="n"/>
      <c r="H31" s="19" t="n"/>
      <c r="I31" s="22">
        <f>IFERROR(H31-G31,"-")</f>
        <v/>
      </c>
      <c r="J31" s="59">
        <f>IFERROR(I31/G31,"-")</f>
        <v/>
      </c>
      <c r="K31" s="18" t="inlineStr">
        <is>
          <t>N/A</t>
        </is>
      </c>
      <c r="L31" s="18" t="inlineStr"/>
    </row>
  </sheetData>
  <mergeCells count="2">
    <mergeCell ref="B4:K4"/>
    <mergeCell ref="B2:K2"/>
  </mergeCells>
  <dataValidations count="25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  <dataValidation sqref="K27" showDropDown="0" showInputMessage="0" showErrorMessage="0" allowBlank="0" type="list">
      <formula1>"On Track,Watch,Behind Plan,N/A"</formula1>
    </dataValidation>
    <dataValidation sqref="K28" showDropDown="0" showInputMessage="0" showErrorMessage="0" allowBlank="0" type="list">
      <formula1>"On Track,Watch,Behind Plan,N/A"</formula1>
    </dataValidation>
    <dataValidation sqref="K29" showDropDown="0" showInputMessage="0" showErrorMessage="0" allowBlank="0" type="list">
      <formula1>"On Track,Watch,Behind Plan,N/A"</formula1>
    </dataValidation>
    <dataValidation sqref="K30" showDropDown="0" showInputMessage="0" showErrorMessage="0" allowBlank="0" type="list">
      <formula1>"On Track,Watch,Behind Plan,N/A"</formula1>
    </dataValidation>
    <dataValidation sqref="K31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/>
    <row r="2">
      <c r="B2" s="1" t="inlineStr">
        <is>
          <t>MOIC Bridge — Entry to Exit</t>
        </is>
      </c>
      <c r="C2" s="2" t="n"/>
      <c r="D2" s="3" t="n"/>
    </row>
    <row r="3"/>
    <row r="4">
      <c r="B4" s="25" t="inlineStr">
        <is>
          <t>Waterfall from entry equity to exit proceeds. NTB contributions pull from NTB Registry.</t>
        </is>
      </c>
    </row>
    <row r="5"/>
    <row r="6">
      <c r="B6" s="6" t="inlineStr">
        <is>
          <t>Component</t>
        </is>
      </c>
      <c r="C6" s="6" t="inlineStr">
        <is>
          <t>Equity Value ($M)</t>
        </is>
      </c>
      <c r="D6" s="6" t="inlineStr">
        <is>
          <t>MOIC Contribution</t>
        </is>
      </c>
      <c r="E6" s="6" t="inlineStr">
        <is>
          <t>Cumulative MOIC</t>
        </is>
      </c>
    </row>
    <row r="7">
      <c r="B7" s="29" t="inlineStr">
        <is>
          <t>Entry Equity Invested</t>
        </is>
      </c>
      <c r="C7" s="62">
        <f>INPUTS!B22</f>
        <v/>
      </c>
      <c r="D7" s="52" t="n">
        <v>1</v>
      </c>
      <c r="E7" s="52">
        <f>IFERROR(INPUTS!B22/INPUTS!B22,"-")</f>
        <v/>
      </c>
    </row>
    <row r="8">
      <c r="B8" s="45" t="inlineStr">
        <is>
          <t>NTB 1 — [name from INPUTS]</t>
        </is>
      </c>
      <c r="C8" s="62">
        <f>IFERROR('NTB REGISTRY'!F10,"-")</f>
        <v/>
      </c>
      <c r="D8" s="63">
        <f>IFERROR('NTB REGISTRY'!G10,"-")</f>
        <v/>
      </c>
      <c r="E8" s="23">
        <f>IFERROR(E7+D8,"-")</f>
        <v/>
      </c>
    </row>
    <row r="9">
      <c r="B9" s="12" t="inlineStr">
        <is>
          <t>NTB 2 — [name from INPUTS]</t>
        </is>
      </c>
      <c r="C9" s="62">
        <f>IFERROR('NTB REGISTRY'!F11,"-")</f>
        <v/>
      </c>
      <c r="D9" s="63">
        <f>IFERROR('NTB REGISTRY'!G11,"-")</f>
        <v/>
      </c>
      <c r="E9" s="23">
        <f>IFERROR(E8+D9,"-")</f>
        <v/>
      </c>
    </row>
    <row r="10">
      <c r="B10" s="45" t="inlineStr">
        <is>
          <t>NTB 3 — [name from INPUTS]</t>
        </is>
      </c>
      <c r="C10" s="62">
        <f>IFERROR('NTB REGISTRY'!F12,"-")</f>
        <v/>
      </c>
      <c r="D10" s="63">
        <f>IFERROR('NTB REGISTRY'!G12,"-")</f>
        <v/>
      </c>
      <c r="E10" s="23">
        <f>IFERROR(E9+D10,"-")</f>
        <v/>
      </c>
    </row>
    <row r="11">
      <c r="B11" s="12" t="inlineStr">
        <is>
          <t>NTB 4 — [name from INPUTS]</t>
        </is>
      </c>
      <c r="C11" s="62">
        <f>IFERROR('NTB REGISTRY'!F13,"-")</f>
        <v/>
      </c>
      <c r="D11" s="63">
        <f>IFERROR('NTB REGISTRY'!G13,"-")</f>
        <v/>
      </c>
      <c r="E11" s="23">
        <f>IFERROR(E10+D11,"-")</f>
        <v/>
      </c>
    </row>
    <row r="12">
      <c r="B12" s="45" t="inlineStr">
        <is>
          <t>NTB 5 — [name from INPUTS]</t>
        </is>
      </c>
      <c r="C12" s="62">
        <f>IFERROR('NTB REGISTRY'!F14,"-")</f>
        <v/>
      </c>
      <c r="D12" s="63">
        <f>IFERROR('NTB REGISTRY'!G14,"-")</f>
        <v/>
      </c>
      <c r="E12" s="23">
        <f>IFERROR(E11+D12,"-")</f>
        <v/>
      </c>
    </row>
    <row r="13">
      <c r="B13" s="12" t="inlineStr">
        <is>
          <t>Multiple Expansion</t>
        </is>
      </c>
      <c r="C13" s="19" t="n"/>
      <c r="D13" s="21" t="n"/>
      <c r="E13" s="23">
        <f>IFERROR(E12+D13,"-")</f>
        <v/>
      </c>
    </row>
    <row r="14">
      <c r="B14" s="45" t="inlineStr">
        <is>
          <t>Leverage / Debt Paydown</t>
        </is>
      </c>
      <c r="C14" s="19" t="n"/>
      <c r="D14" s="21" t="n"/>
      <c r="E14" s="23">
        <f>IFERROR(E13+D14,"-")</f>
        <v/>
      </c>
    </row>
    <row r="15"/>
    <row r="16">
      <c r="B16" s="29" t="inlineStr">
        <is>
          <t>Exit Proceeds (Equity)</t>
        </is>
      </c>
      <c r="C16" s="64">
        <f>INPUTS!B36</f>
        <v/>
      </c>
      <c r="D16" s="52">
        <f>IFERROR(INPUTS!B36/INPUTS!B22,"-")</f>
        <v/>
      </c>
      <c r="E16" s="52">
        <f>IFERROR(INPUTS!B36/INPUTS!B22,"-")</f>
        <v/>
      </c>
    </row>
  </sheetData>
  <mergeCells count="2"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2026-05-06T22:19:43Z</dcterms:created>
  <dcterms:modified xmlns:dcterms="http://purl.org/dc/terms/" xmlns:xsi="http://www.w3.org/2001/XMLSchema-instance" xsi:type="dcterms:W3CDTF">2026-05-06T22:20:11Z</dcterms:modified>
</cp:coreProperties>
</file>