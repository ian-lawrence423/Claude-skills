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FINANCIAL MODEL" sheetId="4" state="visible" r:id="rId4"/>
    <sheet xmlns:r="http://schemas.openxmlformats.org/officeDocument/2006/relationships" name="DRIVER TREE" sheetId="5" state="visible" r:id="rId5"/>
    <sheet xmlns:r="http://schemas.openxmlformats.org/officeDocument/2006/relationships" name="NTB REGISTRY" sheetId="6" state="visible" r:id="rId6"/>
    <sheet xmlns:r="http://schemas.openxmlformats.org/officeDocument/2006/relationships" name="KPI TREE" sheetId="7" state="visible" r:id="rId7"/>
    <sheet xmlns:r="http://schemas.openxmlformats.org/officeDocument/2006/relationships" name="MOIC BRID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$#,##0;($#,##0);&quot;-&quot;"/>
    <numFmt numFmtId="166" formatCode="0.0%;(0.0%);&quot;-&quot;"/>
    <numFmt numFmtId="167" formatCode="0.0&quot;x&quot;;(0.0&quot;x&quot;);&quot;-&quot;"/>
    <numFmt numFmtId="168" formatCode="$#,##0.0;($#,##0.0);&quot;-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E75B6"/>
      <sz val="9"/>
    </font>
    <font>
      <name val="Arial"/>
      <color rgb="00595959"/>
      <sz val="9"/>
    </font>
    <font>
      <name val="Arial"/>
      <b val="1"/>
      <color rgb="00000000"/>
      <sz val="9"/>
    </font>
    <font>
      <name val="Arial"/>
      <b val="1"/>
      <color rgb="000F4761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008000"/>
      <sz val="9"/>
    </font>
    <font>
      <name val="Arial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0F4761"/>
      </patternFill>
    </fill>
    <fill>
      <patternFill patternType="solid">
        <fgColor rgb="001F639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FC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D9E2F3"/>
      </patternFill>
    </fill>
  </fills>
  <borders count="13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/>
      <right/>
      <top style="medium">
        <color rgb="00AAAAAA"/>
      </top>
      <bottom/>
      <diagonal/>
    </border>
    <border>
      <left/>
      <right style="medium">
        <color rgb="00AAAAAA"/>
      </right>
      <top style="medium">
        <color rgb="00AAAAAA"/>
      </top>
      <bottom/>
      <diagonal/>
    </border>
    <border>
      <left/>
      <right/>
      <top style="medium">
        <color rgb="00AAAAAA"/>
      </top>
      <bottom style="medium">
        <color rgb="00AAAAAA"/>
      </bottom>
      <diagonal/>
    </border>
    <border>
      <left/>
      <right style="medium">
        <color rgb="00AAAAAA"/>
      </right>
      <top style="medium">
        <color rgb="00AAAAAA"/>
      </top>
      <bottom style="medium">
        <color rgb="00AAAAAA"/>
      </bottom>
      <diagonal/>
    </border>
    <border>
      <bottom style="thin">
        <color rgb="00CCCCCC"/>
      </bottom>
    </border>
    <border>
      <left/>
      <right/>
      <top/>
      <bottom style="thin">
        <color rgb="00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4" fillId="4" borderId="8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left" vertical="center" wrapText="1"/>
    </xf>
    <xf numFmtId="0" fontId="6" fillId="5" borderId="8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6" fillId="6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left" vertical="center" wrapText="1"/>
    </xf>
    <xf numFmtId="0" fontId="8" fillId="5" borderId="8" applyAlignment="1" pivotButton="0" quotePrefix="0" xfId="0">
      <alignment horizontal="left" vertical="center" wrapText="1"/>
    </xf>
    <xf numFmtId="0" fontId="7" fillId="6" borderId="8" applyAlignment="1" pivotButton="0" quotePrefix="0" xfId="0">
      <alignment horizontal="left" vertical="center" wrapText="1"/>
    </xf>
    <xf numFmtId="0" fontId="8" fillId="6" borderId="8" applyAlignment="1" pivotButton="0" quotePrefix="0" xfId="0">
      <alignment horizontal="left" vertical="center" wrapText="1"/>
    </xf>
    <xf numFmtId="0" fontId="9" fillId="7" borderId="8" applyAlignment="1" pivotButton="0" quotePrefix="0" xfId="0">
      <alignment horizontal="left" vertical="center" wrapText="1"/>
    </xf>
    <xf numFmtId="0" fontId="10" fillId="5" borderId="8" applyAlignment="1" pivotButton="0" quotePrefix="0" xfId="0">
      <alignment horizontal="left" vertical="center" wrapText="1"/>
    </xf>
    <xf numFmtId="0" fontId="11" fillId="5" borderId="8" applyAlignment="1" pivotButton="0" quotePrefix="0" xfId="0">
      <alignment horizontal="left" vertical="center" wrapText="1"/>
    </xf>
    <xf numFmtId="0" fontId="10" fillId="8" borderId="8" applyAlignment="1" pivotButton="0" quotePrefix="0" xfId="0">
      <alignment horizontal="left" vertical="center" wrapText="1"/>
    </xf>
    <xf numFmtId="0" fontId="10" fillId="9" borderId="8" applyAlignment="1" pivotButton="0" quotePrefix="0" xfId="0">
      <alignment horizontal="left" vertical="center" wrapText="1"/>
    </xf>
    <xf numFmtId="0" fontId="10" fillId="10" borderId="8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49" fontId="9" fillId="7" borderId="8" applyAlignment="1" pivotButton="0" quotePrefix="0" xfId="0">
      <alignment horizontal="right" vertical="center"/>
    </xf>
    <xf numFmtId="164" fontId="9" fillId="7" borderId="8" applyAlignment="1" pivotButton="0" quotePrefix="0" xfId="0">
      <alignment horizontal="right" vertical="center"/>
    </xf>
    <xf numFmtId="165" fontId="9" fillId="7" borderId="8" applyAlignment="1" pivotButton="0" quotePrefix="0" xfId="0">
      <alignment horizontal="right" vertical="center"/>
    </xf>
    <xf numFmtId="166" fontId="9" fillId="7" borderId="8" applyAlignment="1" pivotButton="0" quotePrefix="0" xfId="0">
      <alignment horizontal="right" vertical="center"/>
    </xf>
    <xf numFmtId="167" fontId="9" fillId="7" borderId="8" applyAlignment="1" pivotButton="0" quotePrefix="0" xfId="0">
      <alignment horizontal="right" vertical="center"/>
    </xf>
    <xf numFmtId="165" fontId="10" fillId="0" borderId="8" applyAlignment="1" pivotButton="0" quotePrefix="0" xfId="0">
      <alignment horizontal="right" vertical="center"/>
    </xf>
    <xf numFmtId="167" fontId="10" fillId="0" borderId="8" applyAlignment="1" pivotButton="0" quotePrefix="0" xfId="0">
      <alignment horizontal="right" vertical="center"/>
    </xf>
    <xf numFmtId="164" fontId="10" fillId="0" borderId="8" applyAlignment="1" pivotButton="0" quotePrefix="0" xfId="0">
      <alignment horizontal="right" vertical="center"/>
    </xf>
    <xf numFmtId="166" fontId="10" fillId="0" borderId="8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7" fillId="6" borderId="8" applyAlignment="1" pivotButton="0" quotePrefix="0" xfId="0">
      <alignment horizontal="center" vertical="center" wrapText="1"/>
    </xf>
    <xf numFmtId="0" fontId="7" fillId="5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left" vertical="center" wrapText="1"/>
    </xf>
    <xf numFmtId="165" fontId="7" fillId="11" borderId="8" applyAlignment="1" pivotButton="0" quotePrefix="0" xfId="0">
      <alignment horizontal="right" vertical="center"/>
    </xf>
    <xf numFmtId="0" fontId="4" fillId="3" borderId="8" applyAlignment="1" pivotButton="0" quotePrefix="0" xfId="0">
      <alignment horizontal="center" vertical="center" wrapText="1"/>
    </xf>
    <xf numFmtId="0" fontId="0" fillId="6" borderId="8" pivotButton="0" quotePrefix="0" xfId="0"/>
    <xf numFmtId="165" fontId="11" fillId="5" borderId="8" pivotButton="0" quotePrefix="0" xfId="0"/>
    <xf numFmtId="165" fontId="10" fillId="5" borderId="8" pivotButton="0" quotePrefix="0" xfId="0"/>
    <xf numFmtId="166" fontId="11" fillId="5" borderId="8" pivotButton="0" quotePrefix="0" xfId="0"/>
    <xf numFmtId="166" fontId="10" fillId="5" borderId="8" pivotButton="0" quotePrefix="0" xfId="0"/>
    <xf numFmtId="165" fontId="11" fillId="11" borderId="8" pivotButton="0" quotePrefix="0" xfId="0"/>
    <xf numFmtId="165" fontId="7" fillId="11" borderId="8" pivotButton="0" quotePrefix="0" xfId="0"/>
    <xf numFmtId="165" fontId="0" fillId="6" borderId="8" pivotButton="0" quotePrefix="0" xfId="0"/>
    <xf numFmtId="168" fontId="9" fillId="7" borderId="8" applyAlignment="1" pivotButton="0" quotePrefix="0" xfId="0">
      <alignment horizontal="right" vertical="center"/>
    </xf>
    <xf numFmtId="0" fontId="7" fillId="11" borderId="8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center" wrapText="1"/>
    </xf>
    <xf numFmtId="0" fontId="0" fillId="11" borderId="8" pivotButton="0" quotePrefix="0" xfId="0"/>
    <xf numFmtId="0" fontId="6" fillId="11" borderId="8" applyAlignment="1" pivotButton="0" quotePrefix="0" xfId="0">
      <alignment horizontal="left" vertical="center" wrapText="1"/>
    </xf>
    <xf numFmtId="0" fontId="10" fillId="6" borderId="8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left" vertical="center" wrapText="1"/>
    </xf>
    <xf numFmtId="0" fontId="6" fillId="6" borderId="8" applyAlignment="1" pivotButton="0" quotePrefix="0" xfId="0">
      <alignment horizontal="center" vertical="center" wrapText="1"/>
    </xf>
    <xf numFmtId="0" fontId="7" fillId="8" borderId="8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 wrapText="1"/>
    </xf>
    <xf numFmtId="0" fontId="7" fillId="10" borderId="8" applyAlignment="1" pivotButton="0" quotePrefix="0" xfId="0">
      <alignment horizontal="center" vertical="center" wrapText="1"/>
    </xf>
    <xf numFmtId="0" fontId="7" fillId="9" borderId="8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167" fontId="7" fillId="11" borderId="8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167" fontId="7" fillId="0" borderId="8" applyAlignment="1" pivotButton="0" quotePrefix="0" xfId="0">
      <alignment horizontal="right" vertical="center"/>
    </xf>
    <xf numFmtId="49" fontId="10" fillId="0" borderId="8" applyAlignment="1" pivotButton="0" quotePrefix="0" xfId="0">
      <alignment horizontal="right" vertical="center"/>
    </xf>
    <xf numFmtId="49" fontId="11" fillId="6" borderId="8" applyAlignment="1" pivotButton="0" quotePrefix="0" xfId="0">
      <alignment horizontal="right" vertical="center"/>
    </xf>
    <xf numFmtId="49" fontId="11" fillId="5" borderId="8" applyAlignment="1" pivotButton="0" quotePrefix="0" xfId="0">
      <alignment horizontal="right" vertical="center"/>
    </xf>
    <xf numFmtId="0" fontId="4" fillId="3" borderId="8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6" fillId="3" borderId="8" applyAlignment="1" pivotButton="0" quotePrefix="0" xfId="0">
      <alignment horizontal="left" vertical="center" wrapText="1"/>
    </xf>
    <xf numFmtId="165" fontId="11" fillId="11" borderId="8" applyAlignment="1" pivotButton="0" quotePrefix="0" xfId="0">
      <alignment horizontal="right" vertical="center"/>
    </xf>
    <xf numFmtId="165" fontId="11" fillId="0" borderId="8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4761"/>
    <outlinePr summaryBelow="1" summaryRight="1"/>
    <pageSetUpPr/>
  </sheetPr>
  <dimension ref="B2:D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5" customWidth="1" min="3" max="3"/>
    <col width="40" customWidth="1" min="4" max="4"/>
    <col width="3" customWidth="1" min="5" max="5"/>
  </cols>
  <sheetData>
    <row r="1" ht="10" customHeight="1"/>
    <row r="2" ht="60" customHeight="1">
      <c r="B2" s="1" t="inlineStr">
        <is>
          <t>Shopify, Inc. (SHOP)  |  Deal Intelligence Workbook</t>
        </is>
      </c>
      <c r="C2" s="2" t="n"/>
      <c r="D2" s="3" t="n"/>
    </row>
    <row r="3" ht="20" customHeight="1">
      <c r="B3" s="4" t="inlineStr">
        <is>
          <t>NYSE: SHOP  |  Public Equity Long  |  Entry: ~$108/share  |  PT: $150  |  May 2026</t>
        </is>
      </c>
    </row>
    <row r="5">
      <c r="B5" s="5" t="inlineStr">
        <is>
          <t>Workbook Navigation</t>
        </is>
      </c>
      <c r="C5" s="6" t="n"/>
      <c r="D5" s="6" t="n"/>
    </row>
    <row r="6">
      <c r="B6" s="7" t="inlineStr">
        <is>
          <t>Tab</t>
        </is>
      </c>
      <c r="C6" s="7" t="inlineStr">
        <is>
          <t>Purpose</t>
        </is>
      </c>
      <c r="D6" s="7" t="inlineStr">
        <is>
          <t>Key Inputs</t>
        </is>
      </c>
    </row>
    <row r="7">
      <c r="B7" s="8" t="inlineStr">
        <is>
          <t>INPUTS</t>
        </is>
      </c>
      <c r="C7" s="9" t="inlineStr">
        <is>
          <t>Deal assumptions, entry/exit, thesis, NTB names</t>
        </is>
      </c>
      <c r="D7" s="9" t="inlineStr">
        <is>
          <t>Shopify entry at $108/share; 3-yr hold to FY2028</t>
        </is>
      </c>
    </row>
    <row r="8">
      <c r="B8" s="10" t="inlineStr">
        <is>
          <t>FINANCIALS</t>
        </is>
      </c>
      <c r="C8" s="11" t="inlineStr">
        <is>
          <t>Historical P&amp;L — FY2022–FY2025A (adj. non-GAAP)</t>
        </is>
      </c>
      <c r="D8" s="11" t="inlineStr">
        <is>
          <t>Pre-populated; edit to override</t>
        </is>
      </c>
    </row>
    <row r="9">
      <c r="B9" s="8" t="inlineStr">
        <is>
          <t>FINANCIAL MODEL</t>
        </is>
      </c>
      <c r="C9" s="9" t="inlineStr">
        <is>
          <t>Operating model — FY2022A + FY2026–2030E projections</t>
        </is>
      </c>
      <c r="D9" s="9" t="inlineStr">
        <is>
          <t>Yellow projection assumption cells</t>
        </is>
      </c>
    </row>
    <row r="10">
      <c r="B10" s="10" t="inlineStr">
        <is>
          <t>DRIVER TREE</t>
        </is>
      </c>
      <c r="C10" s="11" t="inlineStr">
        <is>
          <t>Thesis decomposition — GMV, Payments, AI, Enterprise</t>
        </is>
      </c>
      <c r="D10" s="11" t="inlineStr">
        <is>
          <t>Base/Upside EV per driver; NTB linkage</t>
        </is>
      </c>
    </row>
    <row r="11">
      <c r="B11" s="8" t="inlineStr">
        <is>
          <t>NTB REGISTRY</t>
        </is>
      </c>
      <c r="C11" s="9" t="inlineStr">
        <is>
          <t>6 Shopify NTBs — evidence, MOIC impact, gaps</t>
        </is>
      </c>
      <c r="D11" s="9" t="inlineStr">
        <is>
          <t>Evidence status; MOIC impact ($M)</t>
        </is>
      </c>
    </row>
    <row r="12">
      <c r="B12" s="10" t="inlineStr">
        <is>
          <t>KPI TREE</t>
        </is>
      </c>
      <c r="C12" s="11" t="inlineStr">
        <is>
          <t>Shopify KPI hierarchy mapped to financial model</t>
        </is>
      </c>
      <c r="D12" s="11" t="inlineStr">
        <is>
          <t>Budget (consensus) vs. actual (Q1'26A)</t>
        </is>
      </c>
    </row>
    <row r="13">
      <c r="B13" s="8" t="inlineStr">
        <is>
          <t>MOIC BRIDGE</t>
        </is>
      </c>
      <c r="C13" s="9" t="inlineStr">
        <is>
          <t>MOIC waterfall — entry equity to exit by NTB</t>
        </is>
      </c>
      <c r="D13" s="9" t="inlineStr">
        <is>
          <t>Pulls from NTB Registry &amp; INPUTS</t>
        </is>
      </c>
    </row>
    <row r="15">
      <c r="B15" s="5" t="inlineStr">
        <is>
          <t>Investment Summary</t>
        </is>
      </c>
      <c r="C15" s="6" t="n"/>
      <c r="D15" s="6" t="n"/>
    </row>
    <row r="16">
      <c r="B16" s="7" t="inlineStr">
        <is>
          <t>Metric</t>
        </is>
      </c>
      <c r="C16" s="7" t="inlineStr">
        <is>
          <t>Value</t>
        </is>
      </c>
      <c r="D16" s="7" t="inlineStr">
        <is>
          <t>Source</t>
        </is>
      </c>
    </row>
    <row r="17">
      <c r="B17" s="12" t="inlineStr">
        <is>
          <t>Share Price (Entry)</t>
        </is>
      </c>
      <c r="C17" s="13" t="inlineStr">
        <is>
          <t>$108</t>
        </is>
      </c>
      <c r="D17" s="9" t="inlineStr">
        <is>
          <t>Post-Q1'26 earnings — May 6, 2026</t>
        </is>
      </c>
    </row>
    <row r="18">
      <c r="B18" s="14" t="inlineStr">
        <is>
          <t>Enterprise Value</t>
        </is>
      </c>
      <c r="C18" s="15" t="inlineStr">
        <is>
          <t>~$135B</t>
        </is>
      </c>
      <c r="D18" s="11" t="inlineStr">
        <is>
          <t>Mkt cap ~$141B less net cash ~$5.7B</t>
        </is>
      </c>
    </row>
    <row r="19">
      <c r="B19" s="12" t="inlineStr">
        <is>
          <t>Q1'26 Revenue</t>
        </is>
      </c>
      <c r="C19" s="13" t="inlineStr">
        <is>
          <t>$3,170M</t>
        </is>
      </c>
      <c r="D19" s="9" t="inlineStr">
        <is>
          <t>Shopify Q1'26 earnings release</t>
        </is>
      </c>
    </row>
    <row r="20">
      <c r="B20" s="14" t="inlineStr">
        <is>
          <t>Q1'26 GMV</t>
        </is>
      </c>
      <c r="C20" s="15" t="inlineStr">
        <is>
          <t>$100.7B</t>
        </is>
      </c>
      <c r="D20" s="11" t="inlineStr">
        <is>
          <t>+35% YoY; first $100B+ quarter</t>
        </is>
      </c>
    </row>
    <row r="21">
      <c r="B21" s="12" t="inlineStr">
        <is>
          <t>Q1'26 FCF Margin</t>
        </is>
      </c>
      <c r="C21" s="13" t="inlineStr">
        <is>
          <t>15.0%</t>
        </is>
      </c>
      <c r="D21" s="9" t="inlineStr">
        <is>
          <t>$476M FCF on $3,170M revenue</t>
        </is>
      </c>
    </row>
    <row r="22">
      <c r="B22" s="14" t="inlineStr">
        <is>
          <t>FY2026E Revenue</t>
        </is>
      </c>
      <c r="C22" s="15" t="inlineStr">
        <is>
          <t>$14,885M</t>
        </is>
      </c>
      <c r="D22" s="11" t="inlineStr">
        <is>
          <t>Street consensus: GS, JPM, Baird, Citizens, KeyBanc</t>
        </is>
      </c>
    </row>
    <row r="23">
      <c r="B23" s="12" t="inlineStr">
        <is>
          <t>FY2026E EBITDA Mgn</t>
        </is>
      </c>
      <c r="C23" s="13" t="inlineStr">
        <is>
          <t>~18.7%</t>
        </is>
      </c>
      <c r="D23" s="9" t="inlineStr">
        <is>
          <t>Consensus range: 18.3%–19.1%</t>
        </is>
      </c>
    </row>
    <row r="24">
      <c r="B24" s="14" t="inlineStr">
        <is>
          <t>12-mo Price Target</t>
        </is>
      </c>
      <c r="C24" s="15" t="inlineStr">
        <is>
          <t>$150</t>
        </is>
      </c>
      <c r="D24" s="11" t="inlineStr">
        <is>
          <t>+39% upside; memo thesis</t>
        </is>
      </c>
    </row>
    <row r="25">
      <c r="B25" s="12" t="inlineStr">
        <is>
          <t>3-yr Base MOIC</t>
        </is>
      </c>
      <c r="C25" s="13" t="inlineStr">
        <is>
          <t>~1.50x</t>
        </is>
      </c>
      <c r="D25" s="9" t="inlineStr">
        <is>
          <t>38x–45x FY2028E EBITDA of ~$4.5B</t>
        </is>
      </c>
    </row>
    <row r="26">
      <c r="B26" s="14" t="inlineStr">
        <is>
          <t>Conviction Level</t>
        </is>
      </c>
      <c r="C26" s="15" t="inlineStr">
        <is>
          <t>HIGH</t>
        </is>
      </c>
      <c r="D26" s="11" t="inlineStr">
        <is>
          <t>See NTB Registry for gating items</t>
        </is>
      </c>
    </row>
    <row r="28">
      <c r="B28" s="5" t="inlineStr">
        <is>
          <t>Color Coding</t>
        </is>
      </c>
      <c r="C28" s="6" t="n"/>
      <c r="D28" s="6" t="n"/>
    </row>
    <row r="29">
      <c r="B29" s="7" t="inlineStr">
        <is>
          <t>Color</t>
        </is>
      </c>
      <c r="C29" s="7" t="inlineStr">
        <is>
          <t>Meaning</t>
        </is>
      </c>
      <c r="D29" s="7" t="inlineStr">
        <is>
          <t>Action</t>
        </is>
      </c>
    </row>
    <row r="30">
      <c r="B30" s="16" t="inlineStr">
        <is>
          <t>BLUE text / YELLOW bg</t>
        </is>
      </c>
      <c r="C30" s="16" t="inlineStr">
        <is>
          <t>BLUE text / YELLOW bg</t>
        </is>
      </c>
      <c r="D30" s="9" t="inlineStr">
        <is>
          <t>Hardcoded input — override for scenario analysis</t>
        </is>
      </c>
    </row>
    <row r="31">
      <c r="B31" s="17" t="inlineStr">
        <is>
          <t>BLACK text</t>
        </is>
      </c>
      <c r="C31" s="17" t="inlineStr">
        <is>
          <t>BLACK text</t>
        </is>
      </c>
      <c r="D31" s="11" t="inlineStr">
        <is>
          <t>Formula — do not overwrite</t>
        </is>
      </c>
    </row>
    <row r="32">
      <c r="B32" s="18" t="inlineStr">
        <is>
          <t>GREEN text</t>
        </is>
      </c>
      <c r="C32" s="18" t="inlineStr">
        <is>
          <t>GREEN text</t>
        </is>
      </c>
      <c r="D32" s="9" t="inlineStr">
        <is>
          <t>Cross-sheet link — do not overwrite</t>
        </is>
      </c>
    </row>
    <row r="33">
      <c r="B33" s="19" t="inlineStr">
        <is>
          <t>Green background</t>
        </is>
      </c>
      <c r="C33" s="19" t="inlineStr">
        <is>
          <t>Green background</t>
        </is>
      </c>
      <c r="D33" s="11" t="inlineStr">
        <is>
          <t>Confirmed / PASS evidence status</t>
        </is>
      </c>
    </row>
    <row r="34">
      <c r="B34" s="20" t="inlineStr">
        <is>
          <t>Orange background</t>
        </is>
      </c>
      <c r="C34" s="20" t="inlineStr">
        <is>
          <t>Orange background</t>
        </is>
      </c>
      <c r="D34" s="9" t="inlineStr">
        <is>
          <t>Partial — needs more evidence</t>
        </is>
      </c>
    </row>
    <row r="35">
      <c r="B35" s="21" t="inlineStr">
        <is>
          <t>Red background</t>
        </is>
      </c>
      <c r="C35" s="21" t="inlineStr">
        <is>
          <t>Red background</t>
        </is>
      </c>
      <c r="D35" s="11" t="inlineStr">
        <is>
          <t>Gap / CRITICAL — NTB not yet supported</t>
        </is>
      </c>
    </row>
  </sheetData>
  <mergeCells count="5">
    <mergeCell ref="B28:D28"/>
    <mergeCell ref="B3:D3"/>
    <mergeCell ref="B5:D5"/>
    <mergeCell ref="B15:D15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2:C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8" customWidth="1" min="3" max="3"/>
    <col width="18" customWidth="1" min="4" max="4"/>
    <col width="3" customWidth="1" min="5" max="5"/>
  </cols>
  <sheetData>
    <row r="2">
      <c r="B2" s="1" t="inlineStr">
        <is>
          <t>Deal Inputs — Shopify, Inc. (SHOP)</t>
        </is>
      </c>
      <c r="C2" s="3" t="n"/>
    </row>
    <row r="4">
      <c r="B4" s="5" t="inlineStr">
        <is>
          <t>Company &amp; Deal</t>
        </is>
      </c>
      <c r="C4" s="6" t="n"/>
    </row>
    <row r="5">
      <c r="B5" s="7" t="inlineStr">
        <is>
          <t>Field</t>
        </is>
      </c>
      <c r="C5" s="7" t="inlineStr">
        <is>
          <t>Value</t>
        </is>
      </c>
    </row>
    <row r="6">
      <c r="B6" s="22" t="inlineStr">
        <is>
          <t>Company Name</t>
        </is>
      </c>
      <c r="C6" s="23" t="inlineStr">
        <is>
          <t>Shopify, Inc. (SHOP)</t>
        </is>
      </c>
    </row>
    <row r="7">
      <c r="B7" s="22" t="inlineStr">
        <is>
          <t>Deal Type</t>
        </is>
      </c>
      <c r="C7" s="23" t="inlineStr">
        <is>
          <t>Public Equity Long</t>
        </is>
      </c>
    </row>
    <row r="8">
      <c r="B8" s="22" t="inlineStr">
        <is>
          <t>Sector</t>
        </is>
      </c>
      <c r="C8" s="23" t="inlineStr">
        <is>
          <t>Technology / eCommerce Infrastructure</t>
        </is>
      </c>
    </row>
    <row r="9">
      <c r="B9" s="22" t="inlineStr">
        <is>
          <t>Investment Thesis (one sentence)</t>
        </is>
      </c>
      <c r="C9" s="23" t="inlineStr">
        <is>
          <t>Dominant commerce OS processing $100B+ qtrly GMV; Payments take-rate compounding 40%+ YoY; AI-native architecture positions SHOP as agentic-commerce infrastructure layer; post-Q1 selloff creates entry at 9.1x FY26E EV/Revenue.</t>
        </is>
      </c>
    </row>
    <row r="10">
      <c r="B10" s="22" t="inlineStr">
        <is>
          <t>Entry Year</t>
        </is>
      </c>
      <c r="C10" s="24" t="n">
        <v>2026</v>
      </c>
    </row>
    <row r="11">
      <c r="B11" s="22" t="inlineStr">
        <is>
          <t>Exit Year (projected)</t>
        </is>
      </c>
      <c r="C11" s="24" t="n">
        <v>2028</v>
      </c>
    </row>
    <row r="13">
      <c r="B13" s="5" t="inlineStr">
        <is>
          <t>Entry Assumptions (at $108/share — May 2026)</t>
        </is>
      </c>
      <c r="C13" s="6" t="n"/>
    </row>
    <row r="14">
      <c r="B14" s="7" t="inlineStr">
        <is>
          <t>Metric ($M unless noted)</t>
        </is>
      </c>
      <c r="C14" s="7" t="inlineStr">
        <is>
          <t>Value</t>
        </is>
      </c>
    </row>
    <row r="15">
      <c r="B15" s="22" t="inlineStr">
        <is>
          <t>Entry Revenue ($M)   [FY2026E consensus]</t>
        </is>
      </c>
      <c r="C15" s="25" t="n">
        <v>14885</v>
      </c>
    </row>
    <row r="16">
      <c r="B16" s="22" t="inlineStr">
        <is>
          <t>Entry EBITDA ($M)   [FY2026E, 18.7% adj.]</t>
        </is>
      </c>
      <c r="C16" s="25" t="n">
        <v>2785</v>
      </c>
    </row>
    <row r="17">
      <c r="B17" s="22" t="inlineStr">
        <is>
          <t>Entry EBITDA Margin</t>
        </is>
      </c>
      <c r="C17" s="26" t="n">
        <v>0.187</v>
      </c>
    </row>
    <row r="18">
      <c r="B18" s="22" t="inlineStr">
        <is>
          <t>Entry EV/EBITDA Multiple  [NTM FY2026E]</t>
        </is>
      </c>
      <c r="C18" s="27" t="n">
        <v>48.5</v>
      </c>
    </row>
    <row r="19">
      <c r="B19" s="22" t="inlineStr">
        <is>
          <t>Entry EV ($M)  [=EBITDA × Multiple]</t>
        </is>
      </c>
      <c r="C19" s="28">
        <f>C16*C18</f>
        <v/>
      </c>
    </row>
    <row r="20">
      <c r="B20" s="22" t="inlineStr">
        <is>
          <t>Net Debt at Entry ($M)  [net cash = neg]</t>
        </is>
      </c>
      <c r="C20" s="25" t="n">
        <v>-5700</v>
      </c>
    </row>
    <row r="21">
      <c r="B21" s="22" t="inlineStr">
        <is>
          <t>Equity Invested ($M)  [=EV − Net Debt]</t>
        </is>
      </c>
      <c r="C21" s="28">
        <f>C19-C20</f>
        <v/>
      </c>
    </row>
    <row r="23">
      <c r="B23" s="5" t="inlineStr">
        <is>
          <t>Exit Assumptions (FY2028E Base Case)</t>
        </is>
      </c>
      <c r="C23" s="6" t="n"/>
    </row>
    <row r="24">
      <c r="B24" s="7" t="inlineStr">
        <is>
          <t>Metric</t>
        </is>
      </c>
      <c r="C24" s="7" t="inlineStr">
        <is>
          <t>Value</t>
        </is>
      </c>
    </row>
    <row r="25">
      <c r="B25" s="22" t="inlineStr">
        <is>
          <t>Exit Revenue ($M)  [FY2028E, ~22% YoY]</t>
        </is>
      </c>
      <c r="C25" s="25" t="n">
        <v>22450</v>
      </c>
    </row>
    <row r="26">
      <c r="B26" s="22" t="inlineStr">
        <is>
          <t>Exit EBITDA ($M)  [FY2028E, ~20% margin]</t>
        </is>
      </c>
      <c r="C26" s="25" t="n">
        <v>4490</v>
      </c>
    </row>
    <row r="27">
      <c r="B27" s="22" t="inlineStr">
        <is>
          <t>Exit EV/EBITDA Multiple</t>
        </is>
      </c>
      <c r="C27" s="27" t="n">
        <v>45</v>
      </c>
    </row>
    <row r="28">
      <c r="B28" s="22" t="inlineStr">
        <is>
          <t>Exit EV ($M)  [=EBITDA × Multiple]</t>
        </is>
      </c>
      <c r="C28" s="25" t="n">
        <v>202050</v>
      </c>
    </row>
    <row r="29">
      <c r="B29" s="22" t="inlineStr">
        <is>
          <t>Net Debt at Exit ($M)  [growing net cash]</t>
        </is>
      </c>
      <c r="C29" s="25" t="n">
        <v>-8500</v>
      </c>
    </row>
    <row r="30">
      <c r="B30" s="22" t="inlineStr">
        <is>
          <t>Proceeds to Equity ($M)  [=Exit EV − Net Debt]</t>
        </is>
      </c>
      <c r="C30" s="25" t="n">
        <v>210550</v>
      </c>
    </row>
    <row r="32">
      <c r="B32" s="5" t="inlineStr">
        <is>
          <t>Returns Summary</t>
        </is>
      </c>
      <c r="C32" s="6" t="n"/>
    </row>
    <row r="33">
      <c r="B33" s="7" t="inlineStr">
        <is>
          <t>Metric</t>
        </is>
      </c>
      <c r="C33" s="7" t="inlineStr">
        <is>
          <t>Value</t>
        </is>
      </c>
    </row>
    <row r="34">
      <c r="B34" s="22" t="inlineStr">
        <is>
          <t>Gross MOIC</t>
        </is>
      </c>
      <c r="C34" s="29">
        <f>IFERROR(C30/C21,"-")</f>
        <v/>
      </c>
    </row>
    <row r="35">
      <c r="B35" s="22" t="inlineStr">
        <is>
          <t>Holding Period (Years)</t>
        </is>
      </c>
      <c r="C35" s="30">
        <f>IFERROR(C11-C10,"-")</f>
        <v/>
      </c>
    </row>
    <row r="36">
      <c r="B36" s="22" t="inlineStr">
        <is>
          <t>Implied IRR (approx)</t>
        </is>
      </c>
      <c r="C36" s="31">
        <f>IFERROR(POWER(C30/C21,1/(C11-C10))-1,"-")</f>
        <v/>
      </c>
    </row>
    <row r="38">
      <c r="B38" s="5" t="inlineStr">
        <is>
          <t>NTB Registry — Need-to-Believe Statements</t>
        </is>
      </c>
      <c r="C38" s="6" t="n"/>
    </row>
    <row r="39">
      <c r="B39" s="32" t="inlineStr">
        <is>
          <t>Shopify has 6 NTBs. Statements below link to NTB Registry &amp; Driver Tree tabs.</t>
        </is>
      </c>
    </row>
    <row r="40">
      <c r="B40" s="7" t="inlineStr">
        <is>
          <t>NTB #</t>
        </is>
      </c>
      <c r="C40" s="7" t="inlineStr">
        <is>
          <t>NTB Statement</t>
        </is>
      </c>
    </row>
    <row r="41">
      <c r="B41" s="33" t="inlineStr">
        <is>
          <t>NTB 1</t>
        </is>
      </c>
      <c r="C41" s="23" t="inlineStr">
        <is>
          <t>NTB-1: GMV growth sustains 25%+ through FY2027 despite tougher comps &amp; FX normalisation [H / LOW / CRITICAL]</t>
        </is>
      </c>
    </row>
    <row r="42">
      <c r="B42" s="34" t="inlineStr">
        <is>
          <t>NTB 2</t>
        </is>
      </c>
      <c r="C42" s="23" t="inlineStr">
        <is>
          <t>NTB-2: Shopify Payments GPV penetration reaches 70%+ within 24 months; take-rate expands to 2.50%+ of GMV [H / MEDIUM / CRITICAL]</t>
        </is>
      </c>
    </row>
    <row r="43">
      <c r="B43" s="33" t="inlineStr">
        <is>
          <t>NTB 3</t>
        </is>
      </c>
      <c r="C43" s="23" t="inlineStr">
        <is>
          <t>NTB-3: AI-driven commerce (Sidekick, UCP, agentic checkout) is net revenue-positive; LLM cost inflation contained [H / LOW / CRITICAL]</t>
        </is>
      </c>
    </row>
    <row r="44">
      <c r="B44" s="34" t="inlineStr">
        <is>
          <t>NTB 4</t>
        </is>
      </c>
      <c r="C44" s="23" t="inlineStr">
        <is>
          <t>NTB-4: Enterprise wins (Shopify Plus) are durable and do not erode margins via bespoke development [E / MEDIUM / NON-CRITICAL]</t>
        </is>
      </c>
    </row>
    <row r="45">
      <c r="B45" s="33" t="inlineStr">
        <is>
          <t>NTB 5</t>
        </is>
      </c>
      <c r="C45" s="23" t="inlineStr">
        <is>
          <t>NTB-5: FCF margin expands from 15-17% to 20%+ by FY2028 without sacrificing 25%+ revenue growth [E / MEDIUM / PARTIAL]</t>
        </is>
      </c>
    </row>
    <row r="46">
      <c r="B46" s="34" t="inlineStr">
        <is>
          <t>NTB 6</t>
        </is>
      </c>
      <c r="C46" s="23" t="inlineStr">
        <is>
          <t>NTB-6: Consumer/macro does not materially deteriorate in FY2026-27, sustaining SMB GMV compounding [H / LOW / CRITICAL]</t>
        </is>
      </c>
    </row>
    <row r="47">
      <c r="B47" s="33" t="inlineStr">
        <is>
          <t>NTB 7</t>
        </is>
      </c>
      <c r="C47" s="23" t="inlineStr"/>
    </row>
  </sheetData>
  <mergeCells count="7">
    <mergeCell ref="B13:C13"/>
    <mergeCell ref="B39:C39"/>
    <mergeCell ref="B38:C38"/>
    <mergeCell ref="B2:C2"/>
    <mergeCell ref="B23:C23"/>
    <mergeCell ref="B32:C32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B2:G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32" customWidth="1" min="7" max="7"/>
  </cols>
  <sheetData>
    <row r="2">
      <c r="B2" s="1" t="inlineStr">
        <is>
          <t>Historical Financials — Shopify FY2022–FY2025A (Adj. Non-GAAP, $M)</t>
        </is>
      </c>
      <c r="C2" s="2" t="n"/>
      <c r="D2" s="2" t="n"/>
      <c r="E2" s="2" t="n"/>
      <c r="F2" s="3" t="n"/>
    </row>
    <row r="4">
      <c r="B4" s="32" t="inlineStr">
        <is>
          <t>Adj. non-GAAP figures. Revenue/GP/EBITDA from earnings releases. OpEx split approximate. Sources: Shopify Q1'26 earnings; GS, JPM, Citizens, Baird, KeyBanc research (May 2026).</t>
        </is>
      </c>
    </row>
    <row r="6">
      <c r="B6" s="7" t="inlineStr">
        <is>
          <t>Line Item ($M)</t>
        </is>
      </c>
      <c r="C6" s="7" t="inlineStr">
        <is>
          <t>FY2022</t>
        </is>
      </c>
      <c r="D6" s="7" t="inlineStr">
        <is>
          <t>FY2023</t>
        </is>
      </c>
      <c r="E6" s="7" t="inlineStr">
        <is>
          <t>FY2024</t>
        </is>
      </c>
      <c r="F6" s="7" t="inlineStr">
        <is>
          <t>FY2025A</t>
        </is>
      </c>
      <c r="G6" s="7" t="inlineStr">
        <is>
          <t>Notes / Source</t>
        </is>
      </c>
    </row>
    <row r="7">
      <c r="B7" s="5" t="inlineStr">
        <is>
          <t>INCOME STATEMENT</t>
        </is>
      </c>
      <c r="C7" s="6" t="n"/>
      <c r="D7" s="6" t="n"/>
      <c r="E7" s="6" t="n"/>
      <c r="F7" s="6" t="n"/>
    </row>
    <row r="8">
      <c r="B8" s="17" t="inlineStr">
        <is>
          <t>Revenue ($M)</t>
        </is>
      </c>
      <c r="C8" s="25" t="n">
        <v>5595</v>
      </c>
      <c r="D8" s="25" t="n">
        <v>7061</v>
      </c>
      <c r="E8" s="25" t="n">
        <v>8884</v>
      </c>
      <c r="F8" s="25" t="n">
        <v>11556</v>
      </c>
      <c r="G8" s="35" t="inlineStr">
        <is>
          <t>Shopify Q1/Q4'26 earnings releases; FY2025A +30.2% YoY</t>
        </is>
      </c>
    </row>
    <row r="9">
      <c r="B9" s="17" t="inlineStr">
        <is>
          <t xml:space="preserve">  YoY Growth %</t>
        </is>
      </c>
      <c r="C9" s="26" t="n"/>
      <c r="D9" s="26" t="n">
        <v>0.262</v>
      </c>
      <c r="E9" s="26" t="n">
        <v>0.258</v>
      </c>
      <c r="F9" s="26" t="n">
        <v>0.302</v>
      </c>
      <c r="G9" s="35" t="inlineStr">
        <is>
          <t>Calculated YoY</t>
        </is>
      </c>
    </row>
    <row r="10">
      <c r="B10" s="17" t="inlineStr">
        <is>
          <t>Cost of Revenue ($M)</t>
        </is>
      </c>
      <c r="C10" s="25" t="n">
        <v>2862</v>
      </c>
      <c r="D10" s="25" t="n">
        <v>3604</v>
      </c>
      <c r="E10" s="25" t="n">
        <v>4504</v>
      </c>
      <c r="F10" s="25" t="n">
        <v>5800</v>
      </c>
      <c r="G10" s="35" t="inlineStr">
        <is>
          <t>Blended: Sub ~20% COGS, MS ~62% COGS</t>
        </is>
      </c>
    </row>
    <row r="11">
      <c r="B11" s="17" t="inlineStr">
        <is>
          <t>Gross Profit ($M)</t>
        </is>
      </c>
      <c r="C11" s="25" t="n">
        <v>2733</v>
      </c>
      <c r="D11" s="25" t="n">
        <v>3457</v>
      </c>
      <c r="E11" s="25" t="n">
        <v>4380</v>
      </c>
      <c r="F11" s="25" t="n">
        <v>5756</v>
      </c>
      <c r="G11" s="35" t="inlineStr">
        <is>
          <t>Blended GM: 48.8% (FY22) → 49.8% (FY25)</t>
        </is>
      </c>
    </row>
    <row r="12">
      <c r="B12" s="17" t="inlineStr">
        <is>
          <t xml:space="preserve">  Gross Margin %</t>
        </is>
      </c>
      <c r="C12" s="26" t="n">
        <v>0.488</v>
      </c>
      <c r="D12" s="26" t="n">
        <v>0.49</v>
      </c>
      <c r="E12" s="26" t="n">
        <v>0.493</v>
      </c>
      <c r="F12" s="26" t="n">
        <v>0.498</v>
      </c>
      <c r="G12" s="35" t="inlineStr"/>
    </row>
    <row r="13">
      <c r="B13" s="17" t="inlineStr">
        <is>
          <t xml:space="preserve">  Sales &amp; Marketing ($M)</t>
        </is>
      </c>
      <c r="C13" s="25" t="n">
        <v>895</v>
      </c>
      <c r="D13" s="25" t="n">
        <v>888</v>
      </c>
      <c r="E13" s="25" t="n">
        <v>1043</v>
      </c>
      <c r="F13" s="25" t="n">
        <v>1422</v>
      </c>
      <c r="G13" s="35" t="inlineStr">
        <is>
          <t>Non-GAAP (excl. SBC)</t>
        </is>
      </c>
    </row>
    <row r="14">
      <c r="B14" s="17" t="inlineStr">
        <is>
          <t xml:space="preserve">  Research &amp; Development ($M)</t>
        </is>
      </c>
      <c r="C14" s="25" t="n">
        <v>810</v>
      </c>
      <c r="D14" s="25" t="n">
        <v>729</v>
      </c>
      <c r="E14" s="25" t="n">
        <v>1155</v>
      </c>
      <c r="F14" s="25" t="n">
        <v>1244</v>
      </c>
      <c r="G14" s="35" t="inlineStr">
        <is>
          <t>Reduced post-2022 workforce restructuring</t>
        </is>
      </c>
    </row>
    <row r="15">
      <c r="B15" s="17" t="inlineStr">
        <is>
          <t xml:space="preserve">  General &amp; Administrative ($M)</t>
        </is>
      </c>
      <c r="C15" s="25" t="n">
        <v>806</v>
      </c>
      <c r="D15" s="25" t="n">
        <v>840</v>
      </c>
      <c r="E15" s="25" t="n">
        <v>599</v>
      </c>
      <c r="F15" s="25" t="n">
        <v>1080</v>
      </c>
      <c r="G15" s="35" t="inlineStr">
        <is>
          <t>Non-GAAP</t>
        </is>
      </c>
    </row>
    <row r="16">
      <c r="B16" s="36" t="inlineStr">
        <is>
          <t>Total Operating Expenses ($M)</t>
        </is>
      </c>
      <c r="C16" s="37" t="n">
        <v>2511</v>
      </c>
      <c r="D16" s="37" t="n">
        <v>2457</v>
      </c>
      <c r="E16" s="37" t="n">
        <v>2797</v>
      </c>
      <c r="F16" s="37" t="n">
        <v>3746</v>
      </c>
      <c r="G16" s="35" t="inlineStr">
        <is>
          <t>Sum S&amp;M + R&amp;D + G&amp;A (non-GAAP)</t>
        </is>
      </c>
    </row>
    <row r="17">
      <c r="B17" s="36" t="inlineStr">
        <is>
          <t>EBITDA (adj.) ($M)</t>
        </is>
      </c>
      <c r="C17" s="37" t="n">
        <v>222</v>
      </c>
      <c r="D17" s="37" t="n">
        <v>1000</v>
      </c>
      <c r="E17" s="37" t="n">
        <v>1583</v>
      </c>
      <c r="F17" s="37" t="n">
        <v>2010</v>
      </c>
      <c r="G17" s="35" t="inlineStr">
        <is>
          <t>Non-GAAP adj. EBITDA; source: earnings releases + GS/JPM</t>
        </is>
      </c>
    </row>
    <row r="18">
      <c r="B18" s="17" t="inlineStr">
        <is>
          <t xml:space="preserve">  EBITDA Margin %</t>
        </is>
      </c>
      <c r="C18" s="26" t="n">
        <v>0.04</v>
      </c>
      <c r="D18" s="26" t="n">
        <v>0.142</v>
      </c>
      <c r="E18" s="26" t="n">
        <v>0.178</v>
      </c>
      <c r="F18" s="26" t="n">
        <v>0.174</v>
      </c>
      <c r="G18" s="35" t="inlineStr"/>
    </row>
    <row r="19">
      <c r="B19" s="17" t="inlineStr">
        <is>
          <t>D&amp;A ($M)</t>
        </is>
      </c>
      <c r="C19" s="25" t="n">
        <v>200</v>
      </c>
      <c r="D19" s="25" t="n">
        <v>235</v>
      </c>
      <c r="E19" s="25" t="n">
        <v>265</v>
      </c>
      <c r="F19" s="25" t="n">
        <v>310</v>
      </c>
      <c r="G19" s="35" t="inlineStr">
        <is>
          <t>Approximate; ~3.6% → 2.7% of revenue</t>
        </is>
      </c>
    </row>
    <row r="20">
      <c r="B20" s="36" t="inlineStr">
        <is>
          <t>EBIT ($M)</t>
        </is>
      </c>
      <c r="C20" s="37" t="n">
        <v>22</v>
      </c>
      <c r="D20" s="37" t="n">
        <v>765</v>
      </c>
      <c r="E20" s="37" t="n">
        <v>1318</v>
      </c>
      <c r="F20" s="37" t="n">
        <v>1700</v>
      </c>
      <c r="G20" s="35" t="inlineStr">
        <is>
          <t>EBITDA minus D&amp;A</t>
        </is>
      </c>
    </row>
    <row r="21">
      <c r="B21" s="17" t="inlineStr">
        <is>
          <t>Interest Income/(Expense) ($M)</t>
        </is>
      </c>
      <c r="C21" s="25" t="n">
        <v>-85</v>
      </c>
      <c r="D21" s="25" t="n">
        <v>-195</v>
      </c>
      <c r="E21" s="25" t="n">
        <v>-232</v>
      </c>
      <c r="F21" s="25" t="n">
        <v>-295</v>
      </c>
      <c r="G21" s="35" t="inlineStr">
        <is>
          <t>Net interest income (Shopify has net cash position)</t>
        </is>
      </c>
    </row>
    <row r="22">
      <c r="B22" s="36" t="inlineStr">
        <is>
          <t>EBT ($M)</t>
        </is>
      </c>
      <c r="C22" s="37" t="n">
        <v>107</v>
      </c>
      <c r="D22" s="37" t="n">
        <v>960</v>
      </c>
      <c r="E22" s="37" t="n">
        <v>1550</v>
      </c>
      <c r="F22" s="37" t="n">
        <v>1995</v>
      </c>
      <c r="G22" s="35" t="inlineStr"/>
    </row>
    <row r="23">
      <c r="B23" s="17" t="inlineStr">
        <is>
          <t>Tax ($M)</t>
        </is>
      </c>
      <c r="C23" s="25" t="n">
        <v>16</v>
      </c>
      <c r="D23" s="25" t="n">
        <v>144</v>
      </c>
      <c r="E23" s="25" t="n">
        <v>233</v>
      </c>
      <c r="F23" s="25" t="n">
        <v>299</v>
      </c>
      <c r="G23" s="35" t="inlineStr">
        <is>
          <t>Effective rate ~15% on adj. basis</t>
        </is>
      </c>
    </row>
    <row r="24">
      <c r="B24" s="36" t="inlineStr">
        <is>
          <t>Net Income (adj.) ($M)</t>
        </is>
      </c>
      <c r="C24" s="37" t="n">
        <v>91</v>
      </c>
      <c r="D24" s="37" t="n">
        <v>816</v>
      </c>
      <c r="E24" s="37" t="n">
        <v>1317</v>
      </c>
      <c r="F24" s="37" t="n">
        <v>1696</v>
      </c>
      <c r="G24" s="35" t="inlineStr">
        <is>
          <t>Adj. net income (non-GAAP)</t>
        </is>
      </c>
    </row>
    <row r="26">
      <c r="B26" s="5" t="inlineStr">
        <is>
          <t>BALANCE SHEET (KEY ITEMS)</t>
        </is>
      </c>
      <c r="C26" s="6" t="n"/>
      <c r="D26" s="6" t="n"/>
      <c r="E26" s="6" t="n"/>
      <c r="F26" s="6" t="n"/>
    </row>
    <row r="27">
      <c r="B27" s="17" t="inlineStr">
        <is>
          <t>Cash &amp; Equivalents ($M)</t>
        </is>
      </c>
      <c r="C27" s="25" t="n">
        <v>5000</v>
      </c>
      <c r="D27" s="25" t="n">
        <v>5500</v>
      </c>
      <c r="E27" s="25" t="n">
        <v>6200</v>
      </c>
      <c r="F27" s="25" t="n">
        <v>7900</v>
      </c>
      <c r="G27" s="35" t="inlineStr">
        <is>
          <t>Q4 balance; FY2025 cash per Q1'26 BS</t>
        </is>
      </c>
    </row>
    <row r="28">
      <c r="B28" s="17" t="inlineStr">
        <is>
          <t>Total Debt ($M)</t>
        </is>
      </c>
      <c r="C28" s="25" t="n">
        <v>921</v>
      </c>
      <c r="D28" s="25" t="n">
        <v>921</v>
      </c>
      <c r="E28" s="25" t="n">
        <v>921</v>
      </c>
      <c r="F28" s="25" t="n">
        <v>921</v>
      </c>
      <c r="G28" s="35" t="inlineStr">
        <is>
          <t>$921M notes; no revolving credit drawn</t>
        </is>
      </c>
    </row>
    <row r="29">
      <c r="B29" s="17" t="inlineStr">
        <is>
          <t>Net Debt ($M) [neg = net cash]</t>
        </is>
      </c>
      <c r="C29" s="25" t="n">
        <v>-4079</v>
      </c>
      <c r="D29" s="25" t="n">
        <v>-4579</v>
      </c>
      <c r="E29" s="25" t="n">
        <v>-5279</v>
      </c>
      <c r="F29" s="25" t="n">
        <v>-6979</v>
      </c>
      <c r="G29" s="35" t="inlineStr">
        <is>
          <t>Negative = net cash</t>
        </is>
      </c>
    </row>
    <row r="30">
      <c r="B30" s="17" t="inlineStr">
        <is>
          <t>Total Assets ($M)</t>
        </is>
      </c>
      <c r="C30" s="25" t="n">
        <v>9500</v>
      </c>
      <c r="D30" s="25" t="n">
        <v>10900</v>
      </c>
      <c r="E30" s="25" t="n">
        <v>12800</v>
      </c>
      <c r="F30" s="25" t="n">
        <v>16200</v>
      </c>
      <c r="G30" s="35" t="inlineStr">
        <is>
          <t>Total assets per annual 10-K</t>
        </is>
      </c>
    </row>
    <row r="32">
      <c r="B32" s="5" t="inlineStr">
        <is>
          <t>CASH FLOW (KEY ITEMS)</t>
        </is>
      </c>
      <c r="C32" s="6" t="n"/>
      <c r="D32" s="6" t="n"/>
      <c r="E32" s="6" t="n"/>
      <c r="F32" s="6" t="n"/>
    </row>
    <row r="33">
      <c r="B33" s="17" t="inlineStr">
        <is>
          <t>Operating Cash Flow ($M)</t>
        </is>
      </c>
      <c r="C33" s="25" t="n">
        <v>378</v>
      </c>
      <c r="D33" s="25" t="n">
        <v>1035</v>
      </c>
      <c r="E33" s="25" t="n">
        <v>1690</v>
      </c>
      <c r="F33" s="25" t="n">
        <v>2207</v>
      </c>
      <c r="G33" s="35" t="inlineStr">
        <is>
          <t>OCF = FCF + Capex</t>
        </is>
      </c>
    </row>
    <row r="34">
      <c r="B34" s="17" t="inlineStr">
        <is>
          <t>Capex ($M)</t>
        </is>
      </c>
      <c r="C34" s="25" t="n">
        <v>100</v>
      </c>
      <c r="D34" s="25" t="n">
        <v>130</v>
      </c>
      <c r="E34" s="25" t="n">
        <v>160</v>
      </c>
      <c r="F34" s="25" t="n">
        <v>200</v>
      </c>
      <c r="G34" s="35" t="inlineStr">
        <is>
          <t>~1.8% of revenue; primarily technology infrastructure</t>
        </is>
      </c>
    </row>
    <row r="35">
      <c r="B35" s="36" t="inlineStr">
        <is>
          <t>Free Cash Flow ($M)</t>
        </is>
      </c>
      <c r="C35" s="37" t="n">
        <v>278</v>
      </c>
      <c r="D35" s="37" t="n">
        <v>905</v>
      </c>
      <c r="E35" s="37" t="n">
        <v>1530</v>
      </c>
      <c r="F35" s="37" t="n">
        <v>2007</v>
      </c>
      <c r="G35" s="35" t="inlineStr">
        <is>
          <t>FCF = OCF - Capex; FY2025A $2,007M (17.4% margin) per Q1'26 release</t>
        </is>
      </c>
    </row>
  </sheetData>
  <mergeCells count="5">
    <mergeCell ref="B4:F4"/>
    <mergeCell ref="B7:F7"/>
    <mergeCell ref="B2:F2"/>
    <mergeCell ref="B32:F32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6391"/>
    <outlinePr summaryBelow="1" summaryRight="1"/>
    <pageSetUpPr/>
  </sheetPr>
  <dimension ref="B2:L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8" customWidth="1" min="12" max="12"/>
  </cols>
  <sheetData>
    <row r="2">
      <c r="B2" s="1" t="inlineStr">
        <is>
          <t>Financial Model — Shopify Historical &amp; Projections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4">
      <c r="B4" s="7" t="inlineStr">
        <is>
          <t>Line Item ($M)</t>
        </is>
      </c>
      <c r="C4" s="38" t="inlineStr">
        <is>
          <t>FY2022</t>
        </is>
      </c>
      <c r="D4" s="38" t="inlineStr">
        <is>
          <t>FY2023</t>
        </is>
      </c>
      <c r="E4" s="38" t="inlineStr">
        <is>
          <t>FY2024</t>
        </is>
      </c>
      <c r="F4" s="38" t="inlineStr">
        <is>
          <t>FY2025A</t>
        </is>
      </c>
      <c r="G4" s="7" t="inlineStr">
        <is>
          <t>FY2026E</t>
        </is>
      </c>
      <c r="H4" s="7" t="inlineStr">
        <is>
          <t>FY2027E</t>
        </is>
      </c>
      <c r="I4" s="7" t="inlineStr">
        <is>
          <t>FY2028E</t>
        </is>
      </c>
      <c r="J4" s="7" t="inlineStr">
        <is>
          <t>FY2029E</t>
        </is>
      </c>
      <c r="K4" s="7" t="inlineStr">
        <is>
          <t>FY2030E</t>
        </is>
      </c>
      <c r="L4" s="7" t="inlineStr">
        <is>
          <t>Notes</t>
        </is>
      </c>
    </row>
    <row r="5">
      <c r="B5" s="5" t="inlineStr">
        <is>
          <t>Projection Assumptions (Yellow = change for scenario analysis)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B6" s="32" t="inlineStr">
        <is>
          <t>FY2026E–FY2030E assumptions driven by consensus estimates + IC memo thesis.</t>
        </is>
      </c>
    </row>
    <row r="7">
      <c r="B7" s="22" t="inlineStr">
        <is>
          <t>Revenue Growth %</t>
        </is>
      </c>
      <c r="C7" s="39" t="inlineStr"/>
      <c r="D7" s="39" t="inlineStr"/>
      <c r="E7" s="39" t="inlineStr"/>
      <c r="F7" s="39" t="inlineStr"/>
      <c r="G7" s="26" t="n">
        <v>0.29</v>
      </c>
      <c r="H7" s="26" t="n">
        <v>0.24</v>
      </c>
      <c r="I7" s="26" t="n">
        <v>0.22</v>
      </c>
      <c r="J7" s="26" t="n">
        <v>0.2</v>
      </c>
      <c r="K7" s="26" t="n">
        <v>0.18</v>
      </c>
      <c r="L7" s="35" t="inlineStr">
        <is>
          <t>FY2026E: +29% (consensus); decel to +18% by FY2030E</t>
        </is>
      </c>
    </row>
    <row r="8">
      <c r="B8" s="22" t="inlineStr">
        <is>
          <t>Gross Margin %</t>
        </is>
      </c>
      <c r="C8" s="39" t="inlineStr"/>
      <c r="D8" s="39" t="inlineStr"/>
      <c r="E8" s="39" t="inlineStr"/>
      <c r="F8" s="39" t="inlineStr"/>
      <c r="G8" s="26" t="n">
        <v>0.5</v>
      </c>
      <c r="H8" s="26" t="n">
        <v>0.505</v>
      </c>
      <c r="I8" s="26" t="n">
        <v>0.51</v>
      </c>
      <c r="J8" s="26" t="n">
        <v>0.515</v>
      </c>
      <c r="K8" s="26" t="n">
        <v>0.52</v>
      </c>
      <c r="L8" s="35" t="inlineStr">
        <is>
          <t>50.0%–52.0%; modest Sub mix uplift</t>
        </is>
      </c>
    </row>
    <row r="9">
      <c r="B9" s="22" t="inlineStr">
        <is>
          <t>S&amp;M % of Revenue</t>
        </is>
      </c>
      <c r="C9" s="39" t="inlineStr"/>
      <c r="D9" s="39" t="inlineStr"/>
      <c r="E9" s="39" t="inlineStr"/>
      <c r="F9" s="39" t="inlineStr"/>
      <c r="G9" s="26" t="n">
        <v>0.125</v>
      </c>
      <c r="H9" s="26" t="n">
        <v>0.12</v>
      </c>
      <c r="I9" s="26" t="n">
        <v>0.118</v>
      </c>
      <c r="J9" s="26" t="n">
        <v>0.115</v>
      </c>
      <c r="K9" s="26" t="n">
        <v>0.112</v>
      </c>
      <c r="L9" s="35" t="inlineStr">
        <is>
          <t>12.5% → 11.2%; OpEx leverage on scale</t>
        </is>
      </c>
    </row>
    <row r="10">
      <c r="B10" s="22" t="inlineStr">
        <is>
          <t>R&amp;D % of Revenue</t>
        </is>
      </c>
      <c r="C10" s="39" t="inlineStr"/>
      <c r="D10" s="39" t="inlineStr"/>
      <c r="E10" s="39" t="inlineStr"/>
      <c r="F10" s="39" t="inlineStr"/>
      <c r="G10" s="26" t="n">
        <v>0.113</v>
      </c>
      <c r="H10" s="26" t="n">
        <v>0.115</v>
      </c>
      <c r="I10" s="26" t="n">
        <v>0.115</v>
      </c>
      <c r="J10" s="26" t="n">
        <v>0.113</v>
      </c>
      <c r="K10" s="26" t="n">
        <v>0.11</v>
      </c>
      <c r="L10" s="35" t="inlineStr">
        <is>
          <t>11.3% → 11.0%; AI capex partially capitalised</t>
        </is>
      </c>
    </row>
    <row r="11">
      <c r="B11" s="22" t="inlineStr">
        <is>
          <t>G&amp;A % of Revenue</t>
        </is>
      </c>
      <c r="C11" s="39" t="inlineStr"/>
      <c r="D11" s="39" t="inlineStr"/>
      <c r="E11" s="39" t="inlineStr"/>
      <c r="F11" s="39" t="inlineStr"/>
      <c r="G11" s="26" t="n">
        <v>0.075</v>
      </c>
      <c r="H11" s="26" t="n">
        <v>0.076</v>
      </c>
      <c r="I11" s="26" t="n">
        <v>0.077</v>
      </c>
      <c r="J11" s="26" t="n">
        <v>0.075</v>
      </c>
      <c r="K11" s="26" t="n">
        <v>0.073</v>
      </c>
      <c r="L11" s="35" t="inlineStr">
        <is>
          <t>7.5% → 7.3%; fixed overhead scale benefit</t>
        </is>
      </c>
    </row>
    <row r="12">
      <c r="B12" s="22" t="inlineStr">
        <is>
          <t>D&amp;A % of Revenue</t>
        </is>
      </c>
      <c r="C12" s="39" t="inlineStr"/>
      <c r="D12" s="39" t="inlineStr"/>
      <c r="E12" s="39" t="inlineStr"/>
      <c r="F12" s="39" t="inlineStr"/>
      <c r="G12" s="26" t="n">
        <v>0.028</v>
      </c>
      <c r="H12" s="26" t="n">
        <v>0.027</v>
      </c>
      <c r="I12" s="26" t="n">
        <v>0.026</v>
      </c>
      <c r="J12" s="26" t="n">
        <v>0.025</v>
      </c>
      <c r="K12" s="26" t="n">
        <v>0.024</v>
      </c>
      <c r="L12" s="35" t="inlineStr">
        <is>
          <t>2.8% → 2.4%; intangible amortisation declining</t>
        </is>
      </c>
    </row>
    <row r="13">
      <c r="B13" s="22" t="inlineStr">
        <is>
          <t>Tax Rate %</t>
        </is>
      </c>
      <c r="C13" s="39" t="inlineStr"/>
      <c r="D13" s="39" t="inlineStr"/>
      <c r="E13" s="39" t="inlineStr"/>
      <c r="F13" s="39" t="inlineStr"/>
      <c r="G13" s="26" t="n">
        <v>0.15</v>
      </c>
      <c r="H13" s="26" t="n">
        <v>0.15</v>
      </c>
      <c r="I13" s="26" t="n">
        <v>0.15</v>
      </c>
      <c r="J13" s="26" t="n">
        <v>0.15</v>
      </c>
      <c r="K13" s="26" t="n">
        <v>0.15</v>
      </c>
      <c r="L13" s="35" t="inlineStr">
        <is>
          <t>15% effective; SBC deductions + R&amp;D credits</t>
        </is>
      </c>
    </row>
    <row r="14">
      <c r="B14" s="22" t="inlineStr">
        <is>
          <t>Capex % of Revenue</t>
        </is>
      </c>
      <c r="C14" s="39" t="inlineStr"/>
      <c r="D14" s="39" t="inlineStr"/>
      <c r="E14" s="39" t="inlineStr"/>
      <c r="F14" s="39" t="inlineStr"/>
      <c r="G14" s="26" t="n">
        <v>0.017</v>
      </c>
      <c r="H14" s="26" t="n">
        <v>0.016</v>
      </c>
      <c r="I14" s="26" t="n">
        <v>0.015</v>
      </c>
      <c r="J14" s="26" t="n">
        <v>0.015</v>
      </c>
      <c r="K14" s="26" t="n">
        <v>0.014</v>
      </c>
      <c r="L14" s="35" t="inlineStr">
        <is>
          <t>1.7% → 1.4%; lean capex model</t>
        </is>
      </c>
    </row>
    <row r="16">
      <c r="B16" s="5" t="inlineStr">
        <is>
          <t>Income Statement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B17" s="17" t="inlineStr">
        <is>
          <t>Revenue</t>
        </is>
      </c>
      <c r="C17" s="40" t="n">
        <v>5595</v>
      </c>
      <c r="D17" s="40" t="n">
        <v>7061</v>
      </c>
      <c r="E17" s="40" t="n">
        <v>8884</v>
      </c>
      <c r="F17" s="40" t="n">
        <v>11556</v>
      </c>
      <c r="G17" s="41">
        <f>F17*(1+G7)</f>
        <v/>
      </c>
      <c r="H17" s="41">
        <f>G17*(1+H7)</f>
        <v/>
      </c>
      <c r="I17" s="41">
        <f>H17*(1+I7)</f>
        <v/>
      </c>
      <c r="J17" s="41">
        <f>I17*(1+J7)</f>
        <v/>
      </c>
      <c r="K17" s="41">
        <f>J17*(1+K7)</f>
        <v/>
      </c>
      <c r="L17" s="35" t="inlineStr">
        <is>
          <t>Q1'26A $3,170M (+34% YoY); FY2026E consensus $14,885M (+29%)</t>
        </is>
      </c>
    </row>
    <row r="18">
      <c r="B18" s="17" t="inlineStr">
        <is>
          <t xml:space="preserve">  YoY Growth %</t>
        </is>
      </c>
      <c r="C18" s="42" t="n"/>
      <c r="D18" s="42" t="n">
        <v>0.262</v>
      </c>
      <c r="E18" s="42" t="n">
        <v>0.258</v>
      </c>
      <c r="F18" s="42" t="n">
        <v>0.302</v>
      </c>
      <c r="G18" s="43">
        <f>IFERROR(G17/F17-1,"-")</f>
        <v/>
      </c>
      <c r="H18" s="43">
        <f>IFERROR(H17/G17-1,"-")</f>
        <v/>
      </c>
      <c r="I18" s="43">
        <f>IFERROR(I17/H17-1,"-")</f>
        <v/>
      </c>
      <c r="J18" s="43">
        <f>IFERROR(J17/I17-1,"-")</f>
        <v/>
      </c>
      <c r="K18" s="43">
        <f>IFERROR(K17/J17-1,"-")</f>
        <v/>
      </c>
      <c r="L18" s="35" t="inlineStr"/>
    </row>
    <row r="19">
      <c r="B19" s="17" t="inlineStr">
        <is>
          <t>Gross Profit</t>
        </is>
      </c>
      <c r="C19" s="40" t="n">
        <v>2733</v>
      </c>
      <c r="D19" s="40" t="n">
        <v>3457</v>
      </c>
      <c r="E19" s="40" t="n">
        <v>4380</v>
      </c>
      <c r="F19" s="40" t="n">
        <v>5756</v>
      </c>
      <c r="G19" s="41">
        <f>G17*G8</f>
        <v/>
      </c>
      <c r="H19" s="41">
        <f>H17*H8</f>
        <v/>
      </c>
      <c r="I19" s="41">
        <f>I17*I8</f>
        <v/>
      </c>
      <c r="J19" s="41">
        <f>J17*J8</f>
        <v/>
      </c>
      <c r="K19" s="41">
        <f>K17*K8</f>
        <v/>
      </c>
      <c r="L19" s="35" t="inlineStr">
        <is>
          <t>Sub Solutions ~80% GM; Merchant Solutions ~38% GM; blended expands</t>
        </is>
      </c>
    </row>
    <row r="20">
      <c r="B20" s="17" t="inlineStr">
        <is>
          <t xml:space="preserve">  Gross Margin %</t>
        </is>
      </c>
      <c r="C20" s="42" t="n">
        <v>0.488</v>
      </c>
      <c r="D20" s="42" t="n">
        <v>0.49</v>
      </c>
      <c r="E20" s="42" t="n">
        <v>0.493</v>
      </c>
      <c r="F20" s="42" t="n">
        <v>0.498</v>
      </c>
      <c r="G20" s="43">
        <f>IFERROR(G19/G17,"-")</f>
        <v/>
      </c>
      <c r="H20" s="43">
        <f>IFERROR(H19/H17,"-")</f>
        <v/>
      </c>
      <c r="I20" s="43">
        <f>IFERROR(I19/I17,"-")</f>
        <v/>
      </c>
      <c r="J20" s="43">
        <f>IFERROR(J19/J17,"-")</f>
        <v/>
      </c>
      <c r="K20" s="43">
        <f>IFERROR(K19/K17,"-")</f>
        <v/>
      </c>
      <c r="L20" s="35" t="inlineStr"/>
    </row>
    <row r="21">
      <c r="B21" s="17" t="inlineStr">
        <is>
          <t xml:space="preserve">  Sales &amp; Marketing</t>
        </is>
      </c>
      <c r="C21" s="40" t="n">
        <v>895</v>
      </c>
      <c r="D21" s="40" t="n">
        <v>888</v>
      </c>
      <c r="E21" s="40" t="n">
        <v>1043</v>
      </c>
      <c r="F21" s="40" t="n">
        <v>1422</v>
      </c>
      <c r="G21" s="41">
        <f>G17*G9</f>
        <v/>
      </c>
      <c r="H21" s="41">
        <f>H17*H9</f>
        <v/>
      </c>
      <c r="I21" s="41">
        <f>I17*I9</f>
        <v/>
      </c>
      <c r="J21" s="41">
        <f>J17*J9</f>
        <v/>
      </c>
      <c r="K21" s="41">
        <f>K17*K9</f>
        <v/>
      </c>
      <c r="L21" s="35" t="inlineStr"/>
    </row>
    <row r="22">
      <c r="B22" s="17" t="inlineStr">
        <is>
          <t xml:space="preserve">  Research &amp; Development</t>
        </is>
      </c>
      <c r="C22" s="40" t="n">
        <v>810</v>
      </c>
      <c r="D22" s="40" t="n">
        <v>729</v>
      </c>
      <c r="E22" s="40" t="n">
        <v>1155</v>
      </c>
      <c r="F22" s="40" t="n">
        <v>1244</v>
      </c>
      <c r="G22" s="41">
        <f>G17*G10</f>
        <v/>
      </c>
      <c r="H22" s="41">
        <f>H17*H10</f>
        <v/>
      </c>
      <c r="I22" s="41">
        <f>I17*I10</f>
        <v/>
      </c>
      <c r="J22" s="41">
        <f>J17*J10</f>
        <v/>
      </c>
      <c r="K22" s="41">
        <f>K17*K10</f>
        <v/>
      </c>
      <c r="L22" s="35" t="inlineStr">
        <is>
          <t>AI/Sidekick investment headwind ~FY2026–27</t>
        </is>
      </c>
    </row>
    <row r="23">
      <c r="B23" s="17" t="inlineStr">
        <is>
          <t xml:space="preserve">  General &amp; Administrative</t>
        </is>
      </c>
      <c r="C23" s="40" t="n">
        <v>806</v>
      </c>
      <c r="D23" s="40" t="n">
        <v>840</v>
      </c>
      <c r="E23" s="40" t="n">
        <v>599</v>
      </c>
      <c r="F23" s="40" t="n">
        <v>1080</v>
      </c>
      <c r="G23" s="41">
        <f>G17*G11</f>
        <v/>
      </c>
      <c r="H23" s="41">
        <f>H17*H11</f>
        <v/>
      </c>
      <c r="I23" s="41">
        <f>I17*I11</f>
        <v/>
      </c>
      <c r="J23" s="41">
        <f>J17*J11</f>
        <v/>
      </c>
      <c r="K23" s="41">
        <f>K17*K11</f>
        <v/>
      </c>
      <c r="L23" s="35" t="inlineStr"/>
    </row>
    <row r="24">
      <c r="B24" s="36" t="inlineStr">
        <is>
          <t>Total OpEx</t>
        </is>
      </c>
      <c r="C24" s="44" t="n">
        <v>2511</v>
      </c>
      <c r="D24" s="44" t="n">
        <v>2457</v>
      </c>
      <c r="E24" s="44" t="n">
        <v>2797</v>
      </c>
      <c r="F24" s="44" t="n">
        <v>3746</v>
      </c>
      <c r="G24" s="45">
        <f>G21+G22+G23</f>
        <v/>
      </c>
      <c r="H24" s="45">
        <f>H21+H22+H23</f>
        <v/>
      </c>
      <c r="I24" s="45">
        <f>I21+I22+I23</f>
        <v/>
      </c>
      <c r="J24" s="45">
        <f>J21+J22+J23</f>
        <v/>
      </c>
      <c r="K24" s="45">
        <f>K21+K22+K23</f>
        <v/>
      </c>
      <c r="L24" s="35" t="inlineStr">
        <is>
          <t>Q1'26 OpEx/Rev = 32%; target 28% by FY2030E via operating leverage</t>
        </is>
      </c>
    </row>
    <row r="25">
      <c r="B25" s="36" t="inlineStr">
        <is>
          <t>EBITDA (adj.)</t>
        </is>
      </c>
      <c r="C25" s="44" t="n">
        <v>222</v>
      </c>
      <c r="D25" s="44" t="n">
        <v>1000</v>
      </c>
      <c r="E25" s="44" t="n">
        <v>1583</v>
      </c>
      <c r="F25" s="44" t="n">
        <v>2010</v>
      </c>
      <c r="G25" s="45">
        <f>G19-G24</f>
        <v/>
      </c>
      <c r="H25" s="45">
        <f>H19-H24</f>
        <v/>
      </c>
      <c r="I25" s="45">
        <f>I19-I24</f>
        <v/>
      </c>
      <c r="J25" s="45">
        <f>J19-J24</f>
        <v/>
      </c>
      <c r="K25" s="45">
        <f>K19-K24</f>
        <v/>
      </c>
      <c r="L25" s="35" t="inlineStr">
        <is>
          <t>FY2025A 17.4%; FY2026E ~18.7% consensus; FY2028E base ~20%</t>
        </is>
      </c>
    </row>
    <row r="26">
      <c r="B26" s="17" t="inlineStr">
        <is>
          <t xml:space="preserve">  EBITDA Margin %</t>
        </is>
      </c>
      <c r="C26" s="42" t="n">
        <v>0.04</v>
      </c>
      <c r="D26" s="42" t="n">
        <v>0.142</v>
      </c>
      <c r="E26" s="42" t="n">
        <v>0.178</v>
      </c>
      <c r="F26" s="42" t="n">
        <v>0.174</v>
      </c>
      <c r="G26" s="43">
        <f>IFERROR(G25/G17,"-")</f>
        <v/>
      </c>
      <c r="H26" s="43">
        <f>IFERROR(H25/H17,"-")</f>
        <v/>
      </c>
      <c r="I26" s="43">
        <f>IFERROR(I25/I17,"-")</f>
        <v/>
      </c>
      <c r="J26" s="43">
        <f>IFERROR(J25/J17,"-")</f>
        <v/>
      </c>
      <c r="K26" s="43">
        <f>IFERROR(K25/K17,"-")</f>
        <v/>
      </c>
      <c r="L26" s="35" t="inlineStr"/>
    </row>
    <row r="27">
      <c r="B27" s="17" t="inlineStr">
        <is>
          <t>D&amp;A</t>
        </is>
      </c>
      <c r="C27" s="40" t="n">
        <v>200</v>
      </c>
      <c r="D27" s="40" t="n">
        <v>235</v>
      </c>
      <c r="E27" s="40" t="n">
        <v>265</v>
      </c>
      <c r="F27" s="40" t="n">
        <v>310</v>
      </c>
      <c r="G27" s="41">
        <f>G17*G12</f>
        <v/>
      </c>
      <c r="H27" s="41">
        <f>H17*H12</f>
        <v/>
      </c>
      <c r="I27" s="41">
        <f>I17*I12</f>
        <v/>
      </c>
      <c r="J27" s="41">
        <f>J17*J12</f>
        <v/>
      </c>
      <c r="K27" s="41">
        <f>K17*K12</f>
        <v/>
      </c>
      <c r="L27" s="35" t="inlineStr"/>
    </row>
    <row r="28">
      <c r="B28" s="36" t="inlineStr">
        <is>
          <t>EBIT</t>
        </is>
      </c>
      <c r="C28" s="44" t="n">
        <v>22</v>
      </c>
      <c r="D28" s="44" t="n">
        <v>765</v>
      </c>
      <c r="E28" s="44" t="n">
        <v>1318</v>
      </c>
      <c r="F28" s="44" t="n">
        <v>1700</v>
      </c>
      <c r="G28" s="45">
        <f>G25-G27</f>
        <v/>
      </c>
      <c r="H28" s="45">
        <f>H25-H27</f>
        <v/>
      </c>
      <c r="I28" s="45">
        <f>I25-I27</f>
        <v/>
      </c>
      <c r="J28" s="45">
        <f>J25-J27</f>
        <v/>
      </c>
      <c r="K28" s="45">
        <f>K25-K27</f>
        <v/>
      </c>
      <c r="L28" s="35" t="inlineStr"/>
    </row>
    <row r="29">
      <c r="B29" s="17" t="inlineStr">
        <is>
          <t>Interest Income/(Expense)</t>
        </is>
      </c>
      <c r="C29" s="40" t="n">
        <v>-85</v>
      </c>
      <c r="D29" s="40" t="n">
        <v>-195</v>
      </c>
      <c r="E29" s="40" t="n">
        <v>-232</v>
      </c>
      <c r="F29" s="40" t="n">
        <v>-295</v>
      </c>
      <c r="G29" s="46" t="n"/>
      <c r="H29" s="46" t="n"/>
      <c r="I29" s="46" t="n"/>
      <c r="J29" s="46" t="n"/>
      <c r="K29" s="46" t="n"/>
      <c r="L29" s="35" t="inlineStr">
        <is>
          <t>Shopify earns net interest on ~$6-9B cash; model as income (negative expense)</t>
        </is>
      </c>
    </row>
    <row r="30">
      <c r="B30" s="36" t="inlineStr">
        <is>
          <t>EBT</t>
        </is>
      </c>
      <c r="C30" s="44" t="n">
        <v>107</v>
      </c>
      <c r="D30" s="44" t="n">
        <v>960</v>
      </c>
      <c r="E30" s="44" t="n">
        <v>1550</v>
      </c>
      <c r="F30" s="44" t="n">
        <v>1995</v>
      </c>
      <c r="G30" s="45">
        <f>G28-G29</f>
        <v/>
      </c>
      <c r="H30" s="45">
        <f>H28-H29</f>
        <v/>
      </c>
      <c r="I30" s="45">
        <f>I28-I29</f>
        <v/>
      </c>
      <c r="J30" s="45">
        <f>J28-J29</f>
        <v/>
      </c>
      <c r="K30" s="45">
        <f>K28-K29</f>
        <v/>
      </c>
      <c r="L30" s="35" t="inlineStr"/>
    </row>
    <row r="31">
      <c r="B31" s="17" t="inlineStr">
        <is>
          <t>Tax</t>
        </is>
      </c>
      <c r="C31" s="40" t="n">
        <v>16</v>
      </c>
      <c r="D31" s="40" t="n">
        <v>144</v>
      </c>
      <c r="E31" s="40" t="n">
        <v>233</v>
      </c>
      <c r="F31" s="40" t="n">
        <v>299</v>
      </c>
      <c r="G31" s="41">
        <f>G30*G13</f>
        <v/>
      </c>
      <c r="H31" s="41">
        <f>H30*H13</f>
        <v/>
      </c>
      <c r="I31" s="41">
        <f>I30*I13</f>
        <v/>
      </c>
      <c r="J31" s="41">
        <f>J30*J13</f>
        <v/>
      </c>
      <c r="K31" s="41">
        <f>K30*K13</f>
        <v/>
      </c>
      <c r="L31" s="35" t="inlineStr">
        <is>
          <t>~15% effective adj. rate; SBC deductions support</t>
        </is>
      </c>
    </row>
    <row r="32">
      <c r="B32" s="36" t="inlineStr">
        <is>
          <t>Net Income (adj.)</t>
        </is>
      </c>
      <c r="C32" s="44" t="n">
        <v>91</v>
      </c>
      <c r="D32" s="44" t="n">
        <v>816</v>
      </c>
      <c r="E32" s="44" t="n">
        <v>1317</v>
      </c>
      <c r="F32" s="44" t="n">
        <v>1696</v>
      </c>
      <c r="G32" s="45">
        <f>G30-G31</f>
        <v/>
      </c>
      <c r="H32" s="45">
        <f>H30-H31</f>
        <v/>
      </c>
      <c r="I32" s="45">
        <f>I30-I31</f>
        <v/>
      </c>
      <c r="J32" s="45">
        <f>J30-J31</f>
        <v/>
      </c>
      <c r="K32" s="45">
        <f>K30-K31</f>
        <v/>
      </c>
      <c r="L32" s="35" t="inlineStr"/>
    </row>
    <row r="34">
      <c r="B34" s="5" t="inlineStr">
        <is>
          <t>Free Cash Flow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B35" s="17" t="inlineStr">
        <is>
          <t>EBITDA (adj.)</t>
        </is>
      </c>
      <c r="C35" s="40" t="n"/>
      <c r="D35" s="40" t="n"/>
      <c r="E35" s="40" t="n"/>
      <c r="F35" s="40" t="n"/>
      <c r="G35" s="41">
        <f>G25</f>
        <v/>
      </c>
      <c r="H35" s="41">
        <f>H25</f>
        <v/>
      </c>
      <c r="I35" s="41">
        <f>I25</f>
        <v/>
      </c>
      <c r="J35" s="41">
        <f>J25</f>
        <v/>
      </c>
      <c r="K35" s="41">
        <f>K25</f>
        <v/>
      </c>
      <c r="L35" s="35" t="inlineStr"/>
    </row>
    <row r="36">
      <c r="B36" s="17" t="inlineStr">
        <is>
          <t>Less: Capex</t>
        </is>
      </c>
      <c r="C36" s="40" t="n">
        <v>100</v>
      </c>
      <c r="D36" s="40" t="n">
        <v>130</v>
      </c>
      <c r="E36" s="40" t="n">
        <v>160</v>
      </c>
      <c r="F36" s="40" t="n">
        <v>200</v>
      </c>
      <c r="G36" s="41">
        <f>G17*G14</f>
        <v/>
      </c>
      <c r="H36" s="41">
        <f>H17*H14</f>
        <v/>
      </c>
      <c r="I36" s="41">
        <f>I17*I14</f>
        <v/>
      </c>
      <c r="J36" s="41">
        <f>J17*J14</f>
        <v/>
      </c>
      <c r="K36" s="41">
        <f>K17*K14</f>
        <v/>
      </c>
      <c r="L36" s="35" t="inlineStr">
        <is>
          <t>~1.7%→1.4% of rev; technology infrastructure + office</t>
        </is>
      </c>
    </row>
    <row r="37">
      <c r="B37" s="17" t="inlineStr">
        <is>
          <t>Less: Interest &amp; Other</t>
        </is>
      </c>
      <c r="C37" s="40" t="n"/>
      <c r="D37" s="40" t="n"/>
      <c r="E37" s="40" t="n"/>
      <c r="F37" s="40" t="n"/>
      <c r="G37" s="46" t="n"/>
      <c r="H37" s="46" t="n"/>
      <c r="I37" s="46" t="n"/>
      <c r="J37" s="46" t="n"/>
      <c r="K37" s="46" t="n"/>
      <c r="L37" s="35" t="inlineStr">
        <is>
          <t>Leave blank; interest income captured in NI above</t>
        </is>
      </c>
    </row>
    <row r="38">
      <c r="B38" s="36" t="inlineStr">
        <is>
          <t>Free Cash Flow</t>
        </is>
      </c>
      <c r="C38" s="44" t="n">
        <v>278</v>
      </c>
      <c r="D38" s="44" t="n">
        <v>905</v>
      </c>
      <c r="E38" s="44" t="n">
        <v>1530</v>
      </c>
      <c r="F38" s="44" t="n">
        <v>2007</v>
      </c>
      <c r="G38" s="45">
        <f>G25-G36-G37</f>
        <v/>
      </c>
      <c r="H38" s="45">
        <f>H25-H36-H37</f>
        <v/>
      </c>
      <c r="I38" s="45">
        <f>I25-I36-I37</f>
        <v/>
      </c>
      <c r="J38" s="45">
        <f>J25-J36-J37</f>
        <v/>
      </c>
      <c r="K38" s="45">
        <f>K25-K36-K37</f>
        <v/>
      </c>
      <c r="L38" s="35" t="inlineStr">
        <is>
          <t>FY2025A $2,007M (17.4%); FY2026E ~$2,610M cons (17.5%); FY2028E ~$4.1B target</t>
        </is>
      </c>
    </row>
    <row r="40">
      <c r="B40" s="5" t="inlineStr">
        <is>
          <t>Shopify-Specific KPIs (Supplemental)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B41" s="22" t="inlineStr">
        <is>
          <t>GMV ($B)</t>
        </is>
      </c>
      <c r="C41" s="47" t="n">
        <v>197</v>
      </c>
      <c r="D41" s="47" t="n">
        <v>236</v>
      </c>
      <c r="E41" s="47" t="n">
        <v>282</v>
      </c>
      <c r="F41" s="47" t="n">
        <v>329</v>
      </c>
      <c r="G41" s="47" t="n">
        <v>489</v>
      </c>
      <c r="H41" s="47" t="n">
        <v>597</v>
      </c>
      <c r="I41" s="47" t="n">
        <v>726</v>
      </c>
      <c r="J41" s="47" t="n">
        <v>871</v>
      </c>
      <c r="K41" s="47" t="n">
        <v>1027</v>
      </c>
      <c r="L41" s="35" t="inlineStr">
        <is>
          <t>Q1'26A: $100.7B (+35%); FY2025A ~$329B (+23%)</t>
        </is>
      </c>
    </row>
    <row r="42">
      <c r="B42" s="22" t="inlineStr">
        <is>
          <t>GPV Penetration % of GMV</t>
        </is>
      </c>
      <c r="C42" s="26" t="n"/>
      <c r="D42" s="26" t="n"/>
      <c r="E42" s="26" t="n">
        <v>0.6</v>
      </c>
      <c r="F42" s="26" t="n">
        <v>0.64</v>
      </c>
      <c r="G42" s="26" t="n">
        <v>0.67</v>
      </c>
      <c r="H42" s="26" t="n">
        <v>0.7</v>
      </c>
      <c r="I42" s="26" t="n">
        <v>0.72</v>
      </c>
      <c r="J42" s="26" t="n">
        <v>0.73</v>
      </c>
      <c r="K42" s="26" t="n">
        <v>0.74</v>
      </c>
      <c r="L42" s="35" t="inlineStr">
        <is>
          <t>Q1'26A: 67%; targeting 72%+ by FY2028</t>
        </is>
      </c>
    </row>
    <row r="43">
      <c r="B43" s="22" t="inlineStr">
        <is>
          <t>Merchant Solutions Rev/GMV (Take Rate)</t>
        </is>
      </c>
      <c r="C43" s="26" t="n"/>
      <c r="D43" s="26" t="n"/>
      <c r="E43" s="26" t="n">
        <v>0.022</v>
      </c>
      <c r="F43" s="26" t="n">
        <v>0.023</v>
      </c>
      <c r="G43" s="26" t="n">
        <v>0.024</v>
      </c>
      <c r="H43" s="26" t="n">
        <v>0.024</v>
      </c>
      <c r="I43" s="26" t="n">
        <v>0.0245</v>
      </c>
      <c r="J43" s="26" t="n">
        <v>0.025</v>
      </c>
      <c r="K43" s="26" t="n">
        <v>0.025</v>
      </c>
      <c r="L43" s="35" t="inlineStr">
        <is>
          <t>Q1'26A: 2.40% (+7bps YoY)</t>
        </is>
      </c>
    </row>
    <row r="44">
      <c r="B44" s="22" t="inlineStr">
        <is>
          <t>MRR ($M)</t>
        </is>
      </c>
      <c r="C44" s="47" t="n"/>
      <c r="D44" s="47" t="n"/>
      <c r="E44" s="47" t="n">
        <v>182</v>
      </c>
      <c r="F44" s="47" t="n">
        <v>200</v>
      </c>
      <c r="G44" s="47" t="n">
        <v>212</v>
      </c>
      <c r="H44" s="47" t="n">
        <v>248</v>
      </c>
      <c r="I44" s="47" t="n">
        <v>291</v>
      </c>
      <c r="J44" s="47" t="n">
        <v>340</v>
      </c>
      <c r="K44" s="47" t="n">
        <v>397</v>
      </c>
      <c r="L44" s="35" t="inlineStr">
        <is>
          <t>Q1'26A: $212M (+16% YoY); Plus ~28% of MRR</t>
        </is>
      </c>
    </row>
  </sheetData>
  <mergeCells count="6">
    <mergeCell ref="B40:K40"/>
    <mergeCell ref="B2:K2"/>
    <mergeCell ref="B6:K6"/>
    <mergeCell ref="B16:K16"/>
    <mergeCell ref="B34:K34"/>
    <mergeCell ref="B5:K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B2:J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  <col width="3" customWidth="1" min="11" max="11"/>
  </cols>
  <sheetData>
    <row r="2">
      <c r="B2" s="1" t="inlineStr">
        <is>
          <t>Driver Tree — Shopify Thesis Decomposition to MOIC</t>
        </is>
      </c>
      <c r="C2" s="2" t="n"/>
      <c r="D2" s="2" t="n"/>
      <c r="E2" s="2" t="n"/>
      <c r="F2" s="2" t="n"/>
      <c r="G2" s="2" t="n"/>
      <c r="H2" s="2" t="n"/>
      <c r="I2" s="3" t="n"/>
    </row>
    <row r="4">
      <c r="B4" s="32" t="inlineStr">
        <is>
          <t>MECE thesis decomposition. Base = EV contribution in base case. Upside = bull-case EV. MOIC Delta = (Upside - Base) / Entry Equity ($140.7B). Source: IC memo driver tree analysis (May 2026).</t>
        </is>
      </c>
    </row>
    <row r="6">
      <c r="B6" s="7" t="inlineStr">
        <is>
          <t>Lvl</t>
        </is>
      </c>
      <c r="C6" s="7" t="inlineStr">
        <is>
          <t>Value Driver</t>
        </is>
      </c>
      <c r="D6" s="7" t="inlineStr">
        <is>
          <t>Type</t>
        </is>
      </c>
      <c r="E6" s="7" t="inlineStr">
        <is>
          <t>NTB</t>
        </is>
      </c>
      <c r="F6" s="7" t="inlineStr">
        <is>
          <t>Evidence
Tier</t>
        </is>
      </c>
      <c r="G6" s="7" t="inlineStr">
        <is>
          <t>Base ($M)</t>
        </is>
      </c>
      <c r="H6" s="7" t="inlineStr">
        <is>
          <t>Upside ($M)</t>
        </is>
      </c>
      <c r="I6" s="7" t="inlineStr">
        <is>
          <t>MOIC Delta</t>
        </is>
      </c>
      <c r="J6" s="7" t="inlineStr">
        <is>
          <t>Notes</t>
        </is>
      </c>
    </row>
    <row r="7">
      <c r="B7" s="48" t="n">
        <v>1</v>
      </c>
      <c r="C7" s="36" t="inlineStr">
        <is>
          <t>GMV / Revenue Growth</t>
        </is>
      </c>
      <c r="D7" s="49" t="inlineStr">
        <is>
          <t>Revenue</t>
        </is>
      </c>
      <c r="E7" s="48" t="inlineStr"/>
      <c r="F7" s="50" t="inlineStr"/>
      <c r="G7" s="50" t="inlineStr"/>
      <c r="H7" s="50" t="inlineStr"/>
      <c r="I7" s="29">
        <f>IFERROR(SUM(I8:I10),"-")</f>
        <v/>
      </c>
      <c r="J7" s="51" t="inlineStr">
        <is>
          <t>Composite of 3 parallel expansion vectors</t>
        </is>
      </c>
    </row>
    <row r="8">
      <c r="B8" s="52" t="n">
        <v>2</v>
      </c>
      <c r="C8" s="53" t="inlineStr">
        <is>
          <t xml:space="preserve">  Same-Cohort GMV Expansion (B1a)</t>
        </is>
      </c>
      <c r="D8" s="54" t="inlineStr">
        <is>
          <t>Revenue</t>
        </is>
      </c>
      <c r="E8" s="54" t="inlineStr">
        <is>
          <t>NTB 1</t>
        </is>
      </c>
      <c r="F8" s="55" t="inlineStr">
        <is>
          <t>T1</t>
        </is>
      </c>
      <c r="G8" s="25" t="n">
        <v>25000</v>
      </c>
      <c r="H8" s="25" t="n">
        <v>35000</v>
      </c>
      <c r="I8" s="29">
        <f>IFERROR((H8-G8)/INPUTS!C21,"-")</f>
        <v/>
      </c>
      <c r="J8" s="11" t="inlineStr">
        <is>
          <t>JPM cohort data; 10yr track record; T1 evidence</t>
        </is>
      </c>
    </row>
    <row r="9">
      <c r="B9" s="56" t="n">
        <v>2</v>
      </c>
      <c r="C9" s="17" t="inlineStr">
        <is>
          <t xml:space="preserve">  New Merchant Acquisition (A1)</t>
        </is>
      </c>
      <c r="D9" s="57" t="inlineStr">
        <is>
          <t>Revenue</t>
        </is>
      </c>
      <c r="E9" s="57" t="inlineStr">
        <is>
          <t>NTB 1</t>
        </is>
      </c>
      <c r="F9" s="55" t="inlineStr">
        <is>
          <t>T1</t>
        </is>
      </c>
      <c r="G9" s="25" t="n">
        <v>15000</v>
      </c>
      <c r="H9" s="25" t="n">
        <v>22000</v>
      </c>
      <c r="I9" s="29">
        <f>IFERROR((H9-G9)/INPUTS!C21,"-")</f>
        <v/>
      </c>
      <c r="J9" s="9" t="inlineStr">
        <is>
          <t>Intl. optionality; pull-forward normalisation complete</t>
        </is>
      </c>
    </row>
    <row r="10">
      <c r="B10" s="52" t="n">
        <v>2</v>
      </c>
      <c r="C10" s="53" t="inlineStr">
        <is>
          <t xml:space="preserve">  Geographic Expansion ex-NA (B1e)</t>
        </is>
      </c>
      <c r="D10" s="54" t="inlineStr">
        <is>
          <t>Revenue</t>
        </is>
      </c>
      <c r="E10" s="54" t="inlineStr">
        <is>
          <t>NTB 1</t>
        </is>
      </c>
      <c r="F10" s="55" t="inlineStr">
        <is>
          <t>T2</t>
        </is>
      </c>
      <c r="G10" s="25" t="n">
        <v>8000</v>
      </c>
      <c r="H10" s="25" t="n">
        <v>14000</v>
      </c>
      <c r="I10" s="29">
        <f>IFERROR((H10-G10)/INPUTS!C21,"-")</f>
        <v/>
      </c>
      <c r="J10" s="11" t="inlineStr">
        <is>
          <t>Europe +48% YoY; &lt;5yr track record in most markets</t>
        </is>
      </c>
    </row>
    <row r="11">
      <c r="B11" s="48" t="n">
        <v>1</v>
      </c>
      <c r="C11" s="36" t="inlineStr">
        <is>
          <t>Payments Monetization</t>
        </is>
      </c>
      <c r="D11" s="49" t="inlineStr">
        <is>
          <t>Revenue</t>
        </is>
      </c>
      <c r="E11" s="48" t="inlineStr"/>
      <c r="F11" s="50" t="inlineStr"/>
      <c r="G11" s="50" t="inlineStr"/>
      <c r="H11" s="50" t="inlineStr"/>
      <c r="I11" s="29">
        <f>IFERROR(SUM(I12:I14),"-")</f>
        <v/>
      </c>
      <c r="J11" s="51" t="inlineStr">
        <is>
          <t>Variance-dominant node in thesis (B2a × B2b)</t>
        </is>
      </c>
    </row>
    <row r="12">
      <c r="B12" s="52" t="n">
        <v>2</v>
      </c>
      <c r="C12" s="53" t="inlineStr">
        <is>
          <t xml:space="preserve">  GPV Penetration 67%→72%+ (B2a)</t>
        </is>
      </c>
      <c r="D12" s="54" t="inlineStr">
        <is>
          <t>Revenue</t>
        </is>
      </c>
      <c r="E12" s="54" t="inlineStr">
        <is>
          <t>NTB 2</t>
        </is>
      </c>
      <c r="F12" s="55" t="inlineStr">
        <is>
          <t>T1</t>
        </is>
      </c>
      <c r="G12" s="25" t="n">
        <v>12000</v>
      </c>
      <c r="H12" s="25" t="n">
        <v>20000</v>
      </c>
      <c r="I12" s="29">
        <f>IFERROR((H12-G12)/INPUTS!C21,"-")</f>
        <v/>
      </c>
      <c r="J12" s="11" t="inlineStr">
        <is>
          <t>T1 evidence; 12yr track; base-rate divergence noted</t>
        </is>
      </c>
    </row>
    <row r="13">
      <c r="B13" s="56" t="n">
        <v>2</v>
      </c>
      <c r="C13" s="17" t="inlineStr">
        <is>
          <t xml:space="preserve">  Payments Take Rate 2.40%→2.45% (B2b)</t>
        </is>
      </c>
      <c r="D13" s="57" t="inlineStr">
        <is>
          <t>Revenue</t>
        </is>
      </c>
      <c r="E13" s="57" t="inlineStr">
        <is>
          <t>NTB 2</t>
        </is>
      </c>
      <c r="F13" s="55" t="inlineStr">
        <is>
          <t>T1</t>
        </is>
      </c>
      <c r="G13" s="25" t="n">
        <v>6000</v>
      </c>
      <c r="H13" s="25" t="n">
        <v>10000</v>
      </c>
      <c r="I13" s="29">
        <f>IFERROR((H13-G13)/INPUTS!C21,"-")</f>
        <v/>
      </c>
      <c r="J13" s="9" t="inlineStr">
        <is>
          <t>Contested directionally; Stripe/Adyen competitive bids</t>
        </is>
      </c>
    </row>
    <row r="14">
      <c r="B14" s="52" t="n">
        <v>2</v>
      </c>
      <c r="C14" s="53" t="inlineStr">
        <is>
          <t xml:space="preserve">  Shopify Capital / MCA (B2c)</t>
        </is>
      </c>
      <c r="D14" s="54" t="inlineStr">
        <is>
          <t>Revenue</t>
        </is>
      </c>
      <c r="E14" s="54" t="inlineStr">
        <is>
          <t>NTB 2</t>
        </is>
      </c>
      <c r="F14" s="55" t="inlineStr">
        <is>
          <t>T2</t>
        </is>
      </c>
      <c r="G14" s="25" t="n">
        <v>2000</v>
      </c>
      <c r="H14" s="25" t="n">
        <v>5000</v>
      </c>
      <c r="I14" s="29">
        <f>IFERROR((H14-G14)/INPUTS!C21,"-")</f>
        <v/>
      </c>
      <c r="J14" s="11" t="inlineStr">
        <is>
          <t>Temp T3 until Q3'26 clean comp post-reclassification</t>
        </is>
      </c>
    </row>
    <row r="15">
      <c r="B15" s="48" t="n">
        <v>1</v>
      </c>
      <c r="C15" s="36" t="inlineStr">
        <is>
          <t>Margin &amp; FCF Expansion</t>
        </is>
      </c>
      <c r="D15" s="49" t="inlineStr">
        <is>
          <t>Cost</t>
        </is>
      </c>
      <c r="E15" s="48" t="inlineStr"/>
      <c r="F15" s="50" t="inlineStr"/>
      <c r="G15" s="50" t="inlineStr"/>
      <c r="H15" s="50" t="inlineStr"/>
      <c r="I15" s="29">
        <f>IFERROR(SUM(I16:I18),"-")</f>
        <v/>
      </c>
      <c r="J15" s="51" t="inlineStr">
        <is>
          <t>OpEx leverage: 32% → 28% of revenue by FY2030E</t>
        </is>
      </c>
    </row>
    <row r="16">
      <c r="B16" s="52" t="n">
        <v>2</v>
      </c>
      <c r="C16" s="53" t="inlineStr">
        <is>
          <t xml:space="preserve">  OpEx Leverage (32%→28% Rev)</t>
        </is>
      </c>
      <c r="D16" s="54" t="inlineStr">
        <is>
          <t>Cost</t>
        </is>
      </c>
      <c r="E16" s="54" t="inlineStr">
        <is>
          <t>NTB 5</t>
        </is>
      </c>
      <c r="F16" s="55" t="inlineStr">
        <is>
          <t>T1</t>
        </is>
      </c>
      <c r="G16" s="25" t="n">
        <v>8000</v>
      </c>
      <c r="H16" s="25" t="n">
        <v>14000</v>
      </c>
      <c r="I16" s="29">
        <f>IFERROR((H16-G16)/INPUTS!C21,"-")</f>
        <v/>
      </c>
      <c r="J16" s="11" t="inlineStr">
        <is>
          <t>Q1'24=41%, Q1'25=36%, Q1'26=32%; trend well-evidenced</t>
        </is>
      </c>
    </row>
    <row r="17">
      <c r="B17" s="56" t="n">
        <v>2</v>
      </c>
      <c r="C17" s="17" t="inlineStr">
        <is>
          <t xml:space="preserve">  Sub Solutions Gross Margin ~80%</t>
        </is>
      </c>
      <c r="D17" s="57" t="inlineStr">
        <is>
          <t>Cost</t>
        </is>
      </c>
      <c r="E17" s="57" t="inlineStr">
        <is>
          <t>NTB 5</t>
        </is>
      </c>
      <c r="F17" s="55" t="inlineStr">
        <is>
          <t>T2</t>
        </is>
      </c>
      <c r="G17" s="25" t="n">
        <v>3000</v>
      </c>
      <c r="H17" s="25" t="n">
        <v>7000</v>
      </c>
      <c r="I17" s="29">
        <f>IFERROR((H17-G17)/INPUTS!C21,"-")</f>
        <v/>
      </c>
      <c r="J17" s="9" t="inlineStr">
        <is>
          <t>Stable; AI/LLM cost headwind vs scale benefit</t>
        </is>
      </c>
    </row>
    <row r="18">
      <c r="B18" s="48" t="n">
        <v>1</v>
      </c>
      <c r="C18" s="36" t="inlineStr">
        <is>
          <t>AI / Platform Optionality</t>
        </is>
      </c>
      <c r="D18" s="49" t="inlineStr">
        <is>
          <t>Multiple</t>
        </is>
      </c>
      <c r="E18" s="48" t="inlineStr"/>
      <c r="F18" s="50" t="inlineStr"/>
      <c r="G18" s="50" t="inlineStr"/>
      <c r="H18" s="50" t="inlineStr"/>
      <c r="I18" s="29">
        <f>IFERROR(SUM(I19:I21),"-")</f>
        <v/>
      </c>
      <c r="J18" s="51" t="inlineStr">
        <is>
          <t>T4 drivers — binary; cannot be load-bearing in base case</t>
        </is>
      </c>
    </row>
    <row r="19">
      <c r="B19" s="56" t="n">
        <v>2</v>
      </c>
      <c r="C19" s="17" t="inlineStr">
        <is>
          <t xml:space="preserve">  Sidekick / Agentic Commerce (C1)</t>
        </is>
      </c>
      <c r="D19" s="57" t="inlineStr">
        <is>
          <t>Multiple</t>
        </is>
      </c>
      <c r="E19" s="57" t="inlineStr">
        <is>
          <t>NTB 3</t>
        </is>
      </c>
      <c r="F19" s="58" t="inlineStr">
        <is>
          <t>T4</t>
        </is>
      </c>
      <c r="G19" s="25" t="n">
        <v>0</v>
      </c>
      <c r="H19" s="25" t="n">
        <v>15000</v>
      </c>
      <c r="I19" s="29">
        <f>IFERROR((H19-G19)/INPUTS!C21,"-")</f>
        <v/>
      </c>
      <c r="J19" s="9" t="inlineStr">
        <is>
          <t>T4: WAU 4× stated; no controlled retention link</t>
        </is>
      </c>
    </row>
    <row r="20">
      <c r="B20" s="52" t="n">
        <v>2</v>
      </c>
      <c r="C20" s="53" t="inlineStr">
        <is>
          <t xml:space="preserve">  Universal Checkout Protocol (C3)</t>
        </is>
      </c>
      <c r="D20" s="54" t="inlineStr">
        <is>
          <t>Multiple</t>
        </is>
      </c>
      <c r="E20" s="54" t="inlineStr">
        <is>
          <t>NTB 3</t>
        </is>
      </c>
      <c r="F20" s="58" t="inlineStr">
        <is>
          <t>T4</t>
        </is>
      </c>
      <c r="G20" s="25" t="n">
        <v>0</v>
      </c>
      <c r="H20" s="25" t="n">
        <v>25000</v>
      </c>
      <c r="I20" s="29">
        <f>IFERROR((H20-G20)/INPUTS!C21,"-")</f>
        <v/>
      </c>
      <c r="J20" s="11" t="inlineStr">
        <is>
          <t>T4: structurally novel; not commercially deployed</t>
        </is>
      </c>
    </row>
    <row r="21">
      <c r="B21" s="48" t="n">
        <v>1</v>
      </c>
      <c r="C21" s="36" t="inlineStr">
        <is>
          <t>Enterprise Upmarket Migration</t>
        </is>
      </c>
      <c r="D21" s="49" t="inlineStr">
        <is>
          <t>Revenue</t>
        </is>
      </c>
      <c r="E21" s="48" t="inlineStr"/>
      <c r="F21" s="50" t="inlineStr"/>
      <c r="G21" s="50" t="inlineStr"/>
      <c r="H21" s="50" t="inlineStr"/>
      <c r="I21" s="29">
        <f>IFERROR(SUM(I22:I24),"-")</f>
        <v/>
      </c>
      <c r="J21" s="51" t="inlineStr">
        <is>
          <t>Plus ~28% of MRR; $25M+ GMV fastest-growing segment</t>
        </is>
      </c>
    </row>
    <row r="22">
      <c r="B22" s="52" t="n">
        <v>2</v>
      </c>
      <c r="C22" s="53" t="inlineStr">
        <is>
          <t xml:space="preserve">  Shopify Plus MRR Growth (A2)</t>
        </is>
      </c>
      <c r="D22" s="54" t="inlineStr">
        <is>
          <t>Revenue</t>
        </is>
      </c>
      <c r="E22" s="54" t="inlineStr">
        <is>
          <t>NTB 4</t>
        </is>
      </c>
      <c r="F22" s="55" t="inlineStr">
        <is>
          <t>T2</t>
        </is>
      </c>
      <c r="G22" s="25" t="n">
        <v>4000</v>
      </c>
      <c r="H22" s="25" t="n">
        <v>8000</v>
      </c>
      <c r="I22" s="29">
        <f>IFERROR((H22-G22)/INPUTS!C21,"-")</f>
        <v/>
      </c>
      <c r="J22" s="11" t="inlineStr">
        <is>
          <t>LVMH, Mulberry wins; pipeline opacity limits bounding</t>
        </is>
      </c>
    </row>
    <row r="23">
      <c r="B23" s="56" t="n">
        <v>2</v>
      </c>
      <c r="C23" s="17" t="inlineStr">
        <is>
          <t xml:space="preserve">  Enterprise GMV Concentration (B1c)</t>
        </is>
      </c>
      <c r="D23" s="57" t="inlineStr">
        <is>
          <t>Revenue</t>
        </is>
      </c>
      <c r="E23" s="57" t="inlineStr">
        <is>
          <t>NTB 4</t>
        </is>
      </c>
      <c r="F23" s="59" t="inlineStr">
        <is>
          <t>T3</t>
        </is>
      </c>
      <c r="G23" s="25" t="n">
        <v>2000</v>
      </c>
      <c r="H23" s="25" t="n">
        <v>5000</v>
      </c>
      <c r="I23" s="29">
        <f>IFERROR((H23-G23)/INPUTS!C21,"-")</f>
        <v/>
      </c>
      <c r="J23" s="9" t="inlineStr">
        <is>
          <t>T3: not observed through recession; G2/G3 gating</t>
        </is>
      </c>
    </row>
    <row r="24">
      <c r="B24" s="48" t="n">
        <v>1</v>
      </c>
      <c r="C24" s="36" t="inlineStr">
        <is>
          <t>Multiple &amp; Macro Risk</t>
        </is>
      </c>
      <c r="D24" s="49" t="inlineStr">
        <is>
          <t>Multiple</t>
        </is>
      </c>
      <c r="E24" s="48" t="inlineStr"/>
      <c r="F24" s="50" t="inlineStr"/>
      <c r="G24" s="50" t="inlineStr"/>
      <c r="H24" s="50" t="inlineStr"/>
      <c r="I24" s="29">
        <f>IFERROR(SUM(I25:I27),"-")</f>
        <v/>
      </c>
      <c r="J24" s="51" t="inlineStr">
        <is>
          <t>FY2026E at 48.5x NTM EBITDA — re-rating risk is real</t>
        </is>
      </c>
    </row>
    <row r="25">
      <c r="B25" s="56" t="n">
        <v>2</v>
      </c>
      <c r="C25" s="17" t="inlineStr">
        <is>
          <t xml:space="preserve">  Multiple Re-rating (sustained growth)</t>
        </is>
      </c>
      <c r="D25" s="57" t="inlineStr">
        <is>
          <t>Multiple</t>
        </is>
      </c>
      <c r="E25" s="57" t="inlineStr">
        <is>
          <t>NTB 1</t>
        </is>
      </c>
      <c r="F25" s="55" t="inlineStr">
        <is>
          <t>T1</t>
        </is>
      </c>
      <c r="G25" s="25" t="n">
        <v>-20000</v>
      </c>
      <c r="H25" s="25" t="n">
        <v>5000</v>
      </c>
      <c r="I25" s="29">
        <f>IFERROR((H25-G25)/INPUTS!C21,"-")</f>
        <v/>
      </c>
      <c r="J25" s="9" t="inlineStr">
        <is>
          <t>Base: modest compression; bull: sustained at 45x+ on growth</t>
        </is>
      </c>
    </row>
    <row r="26">
      <c r="B26" s="52" t="n">
        <v>2</v>
      </c>
      <c r="C26" s="53" t="inlineStr">
        <is>
          <t xml:space="preserve">  Macro / Consumer Softness (B1d)</t>
        </is>
      </c>
      <c r="D26" s="54" t="inlineStr">
        <is>
          <t>Multiple</t>
        </is>
      </c>
      <c r="E26" s="54" t="inlineStr">
        <is>
          <t>NTB 6</t>
        </is>
      </c>
      <c r="F26" s="55" t="inlineStr">
        <is>
          <t>T1</t>
        </is>
      </c>
      <c r="G26" s="25" t="n">
        <v>-5000</v>
      </c>
      <c r="H26" s="25" t="n">
        <v>2000</v>
      </c>
      <c r="I26" s="29">
        <f>IFERROR((H26-G26)/INPUTS!C21,"-")</f>
        <v/>
      </c>
      <c r="J26" s="11" t="inlineStr">
        <is>
          <t>T1 evidence; tariff/PCE risk in H2'26</t>
        </is>
      </c>
    </row>
    <row r="28">
      <c r="B28" s="50" t="inlineStr"/>
      <c r="C28" s="36" t="inlineStr">
        <is>
          <t>Total Bull-Case MOIC Delta (Sum of L2 drivers)</t>
        </is>
      </c>
      <c r="D28" s="60" t="n"/>
      <c r="E28" s="60" t="n"/>
      <c r="F28" s="61" t="n"/>
      <c r="G28" s="50" t="inlineStr"/>
      <c r="H28" s="50" t="inlineStr"/>
      <c r="I28" s="62">
        <f>IFERROR(SUM(I7:I27),"-")</f>
        <v/>
      </c>
      <c r="J28" s="51" t="inlineStr">
        <is>
          <t>Base case MOIC ~1.27x; bull case ~1.84x; 12-mo PT ~1.39x ($150)</t>
        </is>
      </c>
    </row>
  </sheetData>
  <mergeCells count="3">
    <mergeCell ref="B2:I2"/>
    <mergeCell ref="B4:I4"/>
    <mergeCell ref="C28:F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B2:K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18" customWidth="1" min="4" max="4"/>
    <col width="18" customWidth="1" min="5" max="5"/>
    <col width="14" customWidth="1" min="6" max="6"/>
    <col width="14" customWidth="1" min="7" max="7"/>
    <col width="30" customWidth="1" min="8" max="8"/>
    <col width="30" customWidth="1" min="9" max="9"/>
    <col width="12" customWidth="1" min="10" max="10"/>
    <col width="12" customWidth="1" min="11" max="11"/>
    <col width="3" customWidth="1" min="12" max="12"/>
  </cols>
  <sheetData>
    <row r="2">
      <c r="B2" s="1" t="inlineStr">
        <is>
          <t>NTB Registry — Shopify Evidence &amp; MOIC Tracking</t>
        </is>
      </c>
      <c r="C2" s="2" t="n"/>
      <c r="D2" s="2" t="n"/>
      <c r="E2" s="2" t="n"/>
      <c r="F2" s="2" t="n"/>
      <c r="G2" s="2" t="n"/>
      <c r="H2" s="2" t="n"/>
      <c r="I2" s="2" t="n"/>
      <c r="J2" s="3" t="n"/>
    </row>
    <row r="4">
      <c r="B4" s="32" t="inlineStr">
        <is>
          <t>Epistemic status: [F]=Fact, [E]=Estimate, [H]=Hypothesis. MOIC impact = incremental equity value vs base if NTB confirmed. NTBs 1, 2, 3, 6 are thesis-critical. Gap = blocks IC distribution.</t>
        </is>
      </c>
    </row>
    <row r="6">
      <c r="B6" s="63" t="inlineStr">
        <is>
          <t>MOIC Check (NTBs 1-6):</t>
        </is>
      </c>
      <c r="D6" s="64">
        <f>IFERROR(SUM(F8:F13)/INPUTS!C21,"-")</f>
        <v/>
      </c>
      <c r="E6" s="65">
        <f>IFERROR(IF(SUM(F8:F13)/INPUTS!C21&gt;0.4,"PASS — &gt;40% MOIC accounted","CHECK — review allocations"),"-")</f>
        <v/>
      </c>
    </row>
    <row r="7">
      <c r="B7" s="7" t="inlineStr">
        <is>
          <t>#</t>
        </is>
      </c>
      <c r="C7" s="7" t="inlineStr">
        <is>
          <t>NTB Statement (from INPUTS)</t>
        </is>
      </c>
      <c r="D7" s="7" t="inlineStr">
        <is>
          <t>Evidence
Status</t>
        </is>
      </c>
      <c r="E7" s="7" t="inlineStr">
        <is>
          <t>Boundability</t>
        </is>
      </c>
      <c r="F7" s="7" t="inlineStr">
        <is>
          <t>MOIC Impact
($M)</t>
        </is>
      </c>
      <c r="G7" s="7" t="inlineStr">
        <is>
          <t>MOIC (x)</t>
        </is>
      </c>
      <c r="H7" s="7" t="inlineStr">
        <is>
          <t>Primary Risk / Bear Case</t>
        </is>
      </c>
      <c r="I7" s="7" t="inlineStr">
        <is>
          <t>Information Gap</t>
        </is>
      </c>
      <c r="J7" s="7" t="inlineStr">
        <is>
          <t>Owner</t>
        </is>
      </c>
      <c r="K7" s="7" t="inlineStr">
        <is>
          <t>Due</t>
        </is>
      </c>
    </row>
    <row r="8">
      <c r="B8" s="33" t="inlineStr">
        <is>
          <t>NTB 1</t>
        </is>
      </c>
      <c r="C8" s="66">
        <f>INPUTS!C41</f>
        <v/>
      </c>
      <c r="D8" s="58" t="inlineStr">
        <is>
          <t>Gap — critical [H]</t>
        </is>
      </c>
      <c r="E8" s="11" t="inlineStr">
        <is>
          <t>LOW — single data quarter</t>
        </is>
      </c>
      <c r="F8" s="25" t="n">
        <v>22000</v>
      </c>
      <c r="G8" s="29">
        <f>IFERROR(F8/INPUTS!C21,"-")</f>
        <v/>
      </c>
      <c r="H8" s="11" t="inlineStr">
        <is>
          <t>Q2'26 GMV decel to high-20s confirms or disproves; Corr-4 (macro + churn) amplifies</t>
        </is>
      </c>
      <c r="I8" s="11" t="inlineStr">
        <is>
          <t>Monitor Q2'26 GMV actuals (Aug 2026); North America same-store GMV trend</t>
        </is>
      </c>
      <c r="J8" s="23" t="inlineStr">
        <is>
          <t>IC Team</t>
        </is>
      </c>
      <c r="K8" s="23" t="inlineStr">
        <is>
          <t>Q2'26</t>
        </is>
      </c>
    </row>
    <row r="9">
      <c r="B9" s="34" t="inlineStr">
        <is>
          <t>NTB 2</t>
        </is>
      </c>
      <c r="C9" s="67">
        <f>INPUTS!C42</f>
        <v/>
      </c>
      <c r="D9" s="59" t="inlineStr">
        <is>
          <t>Partial — needs more [E]</t>
        </is>
      </c>
      <c r="E9" s="9" t="inlineStr">
        <is>
          <t>MEDIUM — quarterly disclosed</t>
        </is>
      </c>
      <c r="F9" s="25" t="n">
        <v>18000</v>
      </c>
      <c r="G9" s="29">
        <f>IFERROR(F9/INPUTS!C21,"-")</f>
        <v/>
      </c>
      <c r="H9" s="9" t="inlineStr">
        <is>
          <t>Stripe/Adyen offer lower interchange to Plus merchants; opt-out risk via App Store</t>
        </is>
      </c>
      <c r="I9" s="9" t="inlineStr">
        <is>
          <t>Track quarterly GPV/GMV ratio; confirm take rate Q-to-Q in 2026</t>
        </is>
      </c>
      <c r="J9" s="23" t="inlineStr">
        <is>
          <t>IC Team</t>
        </is>
      </c>
      <c r="K9" s="23" t="inlineStr">
        <is>
          <t>Q2'26</t>
        </is>
      </c>
    </row>
    <row r="10">
      <c r="B10" s="33" t="inlineStr">
        <is>
          <t>NTB 3</t>
        </is>
      </c>
      <c r="C10" s="66">
        <f>INPUTS!C43</f>
        <v/>
      </c>
      <c r="D10" s="58" t="inlineStr">
        <is>
          <t>Gap — critical [H]</t>
        </is>
      </c>
      <c r="E10" s="11" t="inlineStr">
        <is>
          <t>LOW — anecdotal only</t>
        </is>
      </c>
      <c r="F10" s="25" t="n">
        <v>8000</v>
      </c>
      <c r="G10" s="29">
        <f>IFERROR(F10/INPUTS!C21,"-")</f>
        <v/>
      </c>
      <c r="H10" s="11" t="inlineStr">
        <is>
          <t>LLM costs growing; Subscription gross margin -10bps YoY. Sidekick = cost centre currently</t>
        </is>
      </c>
      <c r="I10" s="11" t="inlineStr">
        <is>
          <t>Monitor Subscription gross margin trajectory; Sidekick monetisation path; UCP merchant adoption</t>
        </is>
      </c>
      <c r="J10" s="23" t="inlineStr">
        <is>
          <t>IC Team</t>
        </is>
      </c>
      <c r="K10" s="23" t="inlineStr">
        <is>
          <t>Q2'26</t>
        </is>
      </c>
    </row>
    <row r="11">
      <c r="B11" s="34" t="inlineStr">
        <is>
          <t>NTB 4</t>
        </is>
      </c>
      <c r="C11" s="67">
        <f>INPUTS!C44</f>
        <v/>
      </c>
      <c r="D11" s="59" t="inlineStr">
        <is>
          <t>Partial — needs more [E]</t>
        </is>
      </c>
      <c r="E11" s="9" t="inlineStr">
        <is>
          <t>MEDIUM</t>
        </is>
      </c>
      <c r="F11" s="25" t="n">
        <v>6000</v>
      </c>
      <c r="G11" s="29">
        <f>IFERROR(F11/INPUTS!C21,"-")</f>
        <v/>
      </c>
      <c r="H11" s="9" t="inlineStr">
        <is>
          <t>Bespoke integration costs may grow with enterprise complexity; SAP/Hybris still stronger for complex ERP</t>
        </is>
      </c>
      <c r="I11" s="9" t="inlineStr">
        <is>
          <t>Plus churn analysis (not public); track Plus as % of MRR quarterly</t>
        </is>
      </c>
      <c r="J11" s="23" t="inlineStr">
        <is>
          <t>IC Team</t>
        </is>
      </c>
      <c r="K11" s="23" t="inlineStr">
        <is>
          <t>Q2'26</t>
        </is>
      </c>
    </row>
    <row r="12">
      <c r="B12" s="33" t="inlineStr">
        <is>
          <t>NTB 5</t>
        </is>
      </c>
      <c r="C12" s="66">
        <f>INPUTS!C45</f>
        <v/>
      </c>
      <c r="D12" s="59" t="inlineStr">
        <is>
          <t>Partial — needs more [E]</t>
        </is>
      </c>
      <c r="E12" s="11" t="inlineStr">
        <is>
          <t>MEDIUM — trend-based</t>
        </is>
      </c>
      <c r="F12" s="25" t="n">
        <v>10000</v>
      </c>
      <c r="G12" s="29">
        <f>IFERROR(F12/INPUTS!C21,"-")</f>
        <v/>
      </c>
      <c r="H12" s="11" t="inlineStr">
        <is>
          <t>MCA reclassification creates 200-300bps FCF drag in Q2'26; AI/Sidekick is near-term headwind</t>
        </is>
      </c>
      <c r="I12" s="11" t="inlineStr">
        <is>
          <t>FCF margin &lt;17% for 2+ qtrs = bearish signal; Q2'26 FCF guide: mid-teens</t>
        </is>
      </c>
      <c r="J12" s="23" t="inlineStr">
        <is>
          <t>IC Team</t>
        </is>
      </c>
      <c r="K12" s="23" t="inlineStr">
        <is>
          <t>Q2'26</t>
        </is>
      </c>
    </row>
    <row r="13">
      <c r="B13" s="34" t="inlineStr">
        <is>
          <t>NTB 6</t>
        </is>
      </c>
      <c r="C13" s="67">
        <f>INPUTS!C46</f>
        <v/>
      </c>
      <c r="D13" s="58" t="inlineStr">
        <is>
          <t>Gap — critical [H]</t>
        </is>
      </c>
      <c r="E13" s="9" t="inlineStr">
        <is>
          <t>LOW — limited recession history</t>
        </is>
      </c>
      <c r="F13" s="25" t="n">
        <v>5000</v>
      </c>
      <c r="G13" s="29">
        <f>IFERROR(F13/INPUTS!C21,"-")</f>
        <v/>
      </c>
      <c r="H13" s="9" t="inlineStr">
        <is>
          <t>SMB cohort vulnerable to tariff-driven AOV compression; Corr-4 (macro + churn) cascades</t>
        </is>
      </c>
      <c r="I13" s="9" t="inlineStr">
        <is>
          <t>Monitor PCE, credit card spending; SHOP GMV limited recession data</t>
        </is>
      </c>
      <c r="J13" s="23" t="inlineStr">
        <is>
          <t>IC Team</t>
        </is>
      </c>
      <c r="K13" s="23" t="inlineStr">
        <is>
          <t>Q2'26</t>
        </is>
      </c>
    </row>
    <row r="15">
      <c r="B15" s="50" t="inlineStr"/>
      <c r="C15" s="36" t="inlineStr">
        <is>
          <t>Total NTB MOIC Impact (if all confirmed)</t>
        </is>
      </c>
      <c r="D15" s="60" t="n"/>
      <c r="E15" s="61" t="n"/>
      <c r="F15" s="37">
        <f>SUM(F8:F14)</f>
        <v/>
      </c>
      <c r="G15" s="62">
        <f>IFERROR(F15/INPUTS!C21,"-")</f>
        <v/>
      </c>
      <c r="H15" s="50" t="inlineStr"/>
      <c r="I15" s="50" t="inlineStr"/>
      <c r="J15" s="50" t="inlineStr"/>
      <c r="K15" s="50" t="inlineStr"/>
    </row>
  </sheetData>
  <mergeCells count="4">
    <mergeCell ref="B4:J4"/>
    <mergeCell ref="B6:C6"/>
    <mergeCell ref="C15:E15"/>
    <mergeCell ref="B2:J2"/>
  </mergeCells>
  <dataValidations count="6">
    <dataValidation sqref="D8" showDropDown="0" showInputMessage="0" showErrorMessage="0" allowBlank="0" type="list">
      <formula1>"Confirmed [F],Partial — needs more [E],Gap — critical [H],Not yet assessed"</formula1>
    </dataValidation>
    <dataValidation sqref="D9" showDropDown="0" showInputMessage="0" showErrorMessage="0" allowBlank="0" type="list">
      <formula1>"Confirmed [F],Partial — needs more [E],Gap — critical [H],Not yet assessed"</formula1>
    </dataValidation>
    <dataValidation sqref="D10" showDropDown="0" showInputMessage="0" showErrorMessage="0" allowBlank="0" type="list">
      <formula1>"Confirmed [F],Partial — needs more [E],Gap — critical [H],Not yet assessed"</formula1>
    </dataValidation>
    <dataValidation sqref="D11" showDropDown="0" showInputMessage="0" showErrorMessage="0" allowBlank="0" type="list">
      <formula1>"Confirmed [F],Partial — needs more [E],Gap — critical [H],Not yet assessed"</formula1>
    </dataValidation>
    <dataValidation sqref="D12" showDropDown="0" showInputMessage="0" showErrorMessage="0" allowBlank="0" type="list">
      <formula1>"Confirmed [F],Partial — needs more [E],Gap — critical [H],Not yet assessed"</formula1>
    </dataValidation>
    <dataValidation sqref="D13" showDropDown="0" showInputMessage="0" showErrorMessage="0" allowBlank="0" type="list">
      <formula1>"Confirmed [F],Partial — needs more [E],Gap — critical [H],Not yet assessed"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75623"/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2" customWidth="1" min="3" max="3"/>
    <col width="18" customWidth="1" min="4" max="4"/>
    <col width="2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3" customWidth="1" min="13" max="13"/>
  </cols>
  <sheetData>
    <row r="2">
      <c r="B2" s="1" t="inlineStr">
        <is>
          <t>KPI Tree — Shopify Management Plan Audit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4">
      <c r="B4" s="32" t="inlineStr">
        <is>
          <t>FY2026E Budget = Street consensus (May 2026). Actual = Q1'26A annualised or FY2025A. Green = on track. Orange = watch. Red = behind plan.</t>
        </is>
      </c>
    </row>
    <row r="6">
      <c r="B6" s="7" t="inlineStr">
        <is>
          <t>Lvl</t>
        </is>
      </c>
      <c r="C6" s="7" t="inlineStr">
        <is>
          <t>KPI Name</t>
        </is>
      </c>
      <c r="D6" s="7" t="inlineStr">
        <is>
          <t>Category</t>
        </is>
      </c>
      <c r="E6" s="7" t="inlineStr">
        <is>
          <t>Financial Model Line</t>
        </is>
      </c>
      <c r="F6" s="7" t="inlineStr">
        <is>
          <t>Frequency</t>
        </is>
      </c>
      <c r="G6" s="7" t="inlineStr">
        <is>
          <t>FY2026E Budget</t>
        </is>
      </c>
      <c r="H6" s="7" t="inlineStr">
        <is>
          <t>FY2025A Actual</t>
        </is>
      </c>
      <c r="I6" s="7" t="inlineStr">
        <is>
          <t>Variance ($)</t>
        </is>
      </c>
      <c r="J6" s="7" t="inlineStr">
        <is>
          <t>Variance %</t>
        </is>
      </c>
      <c r="K6" s="7" t="inlineStr">
        <is>
          <t>Status</t>
        </is>
      </c>
      <c r="L6" s="7" t="inlineStr">
        <is>
          <t>Notes</t>
        </is>
      </c>
    </row>
    <row r="7">
      <c r="B7" s="48" t="inlineStr">
        <is>
          <t>NS</t>
        </is>
      </c>
      <c r="C7" s="36" t="inlineStr">
        <is>
          <t>NORTH STAR — GMV ($B)</t>
        </is>
      </c>
      <c r="D7" s="49" t="inlineStr">
        <is>
          <t>Scale</t>
        </is>
      </c>
      <c r="E7" s="51" t="inlineStr"/>
      <c r="F7" s="49" t="inlineStr">
        <is>
          <t>Quarterly</t>
        </is>
      </c>
      <c r="G7" s="25" t="n">
        <v>489</v>
      </c>
      <c r="H7" s="25" t="n">
        <v>329</v>
      </c>
      <c r="I7" s="28">
        <f>IFERROR(H7-G7,"-")</f>
        <v/>
      </c>
      <c r="J7" s="31">
        <f>IFERROR(I7/G7,"-")</f>
        <v/>
      </c>
      <c r="K7" s="55" t="inlineStr">
        <is>
          <t>On Track</t>
        </is>
      </c>
      <c r="L7" s="9" t="inlineStr">
        <is>
          <t>Q1'26A: $100.7B (+35%); FY2026E: $489B consensus</t>
        </is>
      </c>
    </row>
    <row r="8">
      <c r="B8" s="38" t="n">
        <v>1</v>
      </c>
      <c r="C8" s="68" t="inlineStr">
        <is>
          <t>Total Revenue ($M)</t>
        </is>
      </c>
      <c r="D8" s="69" t="inlineStr">
        <is>
          <t>Growth</t>
        </is>
      </c>
      <c r="E8" s="70" t="inlineStr"/>
      <c r="F8" s="69" t="inlineStr">
        <is>
          <t>Monthly</t>
        </is>
      </c>
      <c r="G8" s="25" t="n">
        <v>14885</v>
      </c>
      <c r="H8" s="25" t="n">
        <v>11556</v>
      </c>
      <c r="I8" s="28">
        <f>IFERROR(H8-G8,"-")</f>
        <v/>
      </c>
      <c r="J8" s="31">
        <f>IFERROR(I8/G8,"-")</f>
        <v/>
      </c>
      <c r="K8" s="55" t="inlineStr">
        <is>
          <t>On Track</t>
        </is>
      </c>
      <c r="L8" s="11" t="inlineStr">
        <is>
          <t>Q1'26A: $3,170M (+34%); consensus $14.9B</t>
        </is>
      </c>
    </row>
    <row r="9">
      <c r="B9" s="56" t="n">
        <v>2</v>
      </c>
      <c r="C9" s="17" t="inlineStr">
        <is>
          <t xml:space="preserve">  Subscription Solutions ($M)</t>
        </is>
      </c>
      <c r="D9" s="57" t="inlineStr">
        <is>
          <t>Growth</t>
        </is>
      </c>
      <c r="E9" s="9" t="inlineStr"/>
      <c r="F9" s="57" t="inlineStr">
        <is>
          <t>Monthly</t>
        </is>
      </c>
      <c r="G9" s="25" t="n">
        <v>3440</v>
      </c>
      <c r="H9" s="25" t="n">
        <v>2752</v>
      </c>
      <c r="I9" s="28">
        <f>IFERROR(H9-G9,"-")</f>
        <v/>
      </c>
      <c r="J9" s="31">
        <f>IFERROR(I9/G9,"-")</f>
        <v/>
      </c>
      <c r="K9" s="59" t="inlineStr">
        <is>
          <t>Watch</t>
        </is>
      </c>
      <c r="L9" s="9" t="inlineStr">
        <is>
          <t>Q1'26A: $750M (+21%); 23% of Q1 rev</t>
        </is>
      </c>
    </row>
    <row r="10">
      <c r="B10" s="52" t="n">
        <v>2</v>
      </c>
      <c r="C10" s="53" t="inlineStr">
        <is>
          <t xml:space="preserve">  Merchant Solutions ($M)</t>
        </is>
      </c>
      <c r="D10" s="54" t="inlineStr">
        <is>
          <t>Growth</t>
        </is>
      </c>
      <c r="E10" s="11" t="inlineStr"/>
      <c r="F10" s="54" t="inlineStr">
        <is>
          <t>Monthly</t>
        </is>
      </c>
      <c r="G10" s="25" t="n">
        <v>11445</v>
      </c>
      <c r="H10" s="25" t="n">
        <v>8804</v>
      </c>
      <c r="I10" s="28">
        <f>IFERROR(H10-G10,"-")</f>
        <v/>
      </c>
      <c r="J10" s="31">
        <f>IFERROR(I10/G10,"-")</f>
        <v/>
      </c>
      <c r="K10" s="55" t="inlineStr">
        <is>
          <t>On Track</t>
        </is>
      </c>
      <c r="L10" s="11" t="inlineStr">
        <is>
          <t>Q1'26A: $2,420M (+39%); 77% of Q1 rev</t>
        </is>
      </c>
    </row>
    <row r="11">
      <c r="B11" s="56" t="n">
        <v>2</v>
      </c>
      <c r="C11" s="17" t="inlineStr">
        <is>
          <t xml:space="preserve">  MRR ($M)</t>
        </is>
      </c>
      <c r="D11" s="57" t="inlineStr">
        <is>
          <t>Growth</t>
        </is>
      </c>
      <c r="E11" s="9" t="inlineStr"/>
      <c r="F11" s="57" t="inlineStr">
        <is>
          <t>Monthly</t>
        </is>
      </c>
      <c r="G11" s="25" t="n">
        <v>248</v>
      </c>
      <c r="H11" s="25" t="n">
        <v>200</v>
      </c>
      <c r="I11" s="28">
        <f>IFERROR(H11-G11,"-")</f>
        <v/>
      </c>
      <c r="J11" s="31">
        <f>IFERROR(I11/G11,"-")</f>
        <v/>
      </c>
      <c r="K11" s="55" t="inlineStr">
        <is>
          <t>On Track</t>
        </is>
      </c>
      <c r="L11" s="9" t="inlineStr">
        <is>
          <t>Q1'26A: $212M (+16%); Plus ~28%</t>
        </is>
      </c>
    </row>
    <row r="12">
      <c r="B12" s="38" t="n">
        <v>1</v>
      </c>
      <c r="C12" s="68" t="inlineStr">
        <is>
          <t>Blended Gross Margin</t>
        </is>
      </c>
      <c r="D12" s="69" t="inlineStr">
        <is>
          <t>Margin</t>
        </is>
      </c>
      <c r="E12" s="70" t="inlineStr"/>
      <c r="F12" s="69" t="inlineStr">
        <is>
          <t>Monthly</t>
        </is>
      </c>
      <c r="G12" s="26" t="n">
        <v>0.5</v>
      </c>
      <c r="H12" s="26" t="n">
        <v>0.498</v>
      </c>
      <c r="I12" s="28">
        <f>IFERROR(H12-G12,"-")</f>
        <v/>
      </c>
      <c r="J12" s="31">
        <f>IFERROR(I12/G12,"-")</f>
        <v/>
      </c>
      <c r="K12" s="55" t="inlineStr">
        <is>
          <t>On Track</t>
        </is>
      </c>
      <c r="L12" s="11" t="inlineStr">
        <is>
          <t>Q1'26A: 48.8%; modest improvement expected</t>
        </is>
      </c>
    </row>
    <row r="13">
      <c r="B13" s="56" t="n">
        <v>2</v>
      </c>
      <c r="C13" s="17" t="inlineStr">
        <is>
          <t xml:space="preserve">  Sub Solutions Gross Margin</t>
        </is>
      </c>
      <c r="D13" s="57" t="inlineStr">
        <is>
          <t>Margin</t>
        </is>
      </c>
      <c r="E13" s="9" t="inlineStr"/>
      <c r="F13" s="57" t="inlineStr">
        <is>
          <t>Monthly</t>
        </is>
      </c>
      <c r="G13" s="26" t="n">
        <v>0.8</v>
      </c>
      <c r="H13" s="26" t="n">
        <v>0.8</v>
      </c>
      <c r="I13" s="28">
        <f>IFERROR(H13-G13,"-")</f>
        <v/>
      </c>
      <c r="J13" s="31">
        <f>IFERROR(I13/G13,"-")</f>
        <v/>
      </c>
      <c r="K13" s="59" t="inlineStr">
        <is>
          <t>Watch</t>
        </is>
      </c>
      <c r="L13" s="9" t="inlineStr">
        <is>
          <t>AI/LLM cost headwind; -10bps YoY in Q1'26</t>
        </is>
      </c>
    </row>
    <row r="14">
      <c r="B14" s="52" t="n">
        <v>2</v>
      </c>
      <c r="C14" s="53" t="inlineStr">
        <is>
          <t xml:space="preserve">  Merchant Solutions Gross Margin</t>
        </is>
      </c>
      <c r="D14" s="54" t="inlineStr">
        <is>
          <t>Margin</t>
        </is>
      </c>
      <c r="E14" s="11" t="inlineStr"/>
      <c r="F14" s="54" t="inlineStr">
        <is>
          <t>Monthly</t>
        </is>
      </c>
      <c r="G14" s="26" t="n">
        <v>0.38</v>
      </c>
      <c r="H14" s="26" t="n">
        <v>0.375</v>
      </c>
      <c r="I14" s="28">
        <f>IFERROR(H14-G14,"-")</f>
        <v/>
      </c>
      <c r="J14" s="31">
        <f>IFERROR(I14/G14,"-")</f>
        <v/>
      </c>
      <c r="K14" s="55" t="inlineStr">
        <is>
          <t>On Track</t>
        </is>
      </c>
      <c r="L14" s="11" t="inlineStr">
        <is>
          <t>Payments mix increasing; take rate expanding</t>
        </is>
      </c>
    </row>
    <row r="15">
      <c r="B15" s="38" t="n">
        <v>1</v>
      </c>
      <c r="C15" s="68" t="inlineStr">
        <is>
          <t>Adj. EBITDA Margin</t>
        </is>
      </c>
      <c r="D15" s="69" t="inlineStr">
        <is>
          <t>Margin</t>
        </is>
      </c>
      <c r="E15" s="70" t="inlineStr"/>
      <c r="F15" s="69" t="inlineStr">
        <is>
          <t>Monthly</t>
        </is>
      </c>
      <c r="G15" s="26" t="n">
        <v>0.187</v>
      </c>
      <c r="H15" s="26" t="n">
        <v>0.174</v>
      </c>
      <c r="I15" s="28">
        <f>IFERROR(H15-G15,"-")</f>
        <v/>
      </c>
      <c r="J15" s="31">
        <f>IFERROR(I15/G15,"-")</f>
        <v/>
      </c>
      <c r="K15" s="55" t="inlineStr">
        <is>
          <t>On Track</t>
        </is>
      </c>
      <c r="L15" s="9" t="inlineStr">
        <is>
          <t>Q1'26A: 16.5% (adj.); opex leverage continues</t>
        </is>
      </c>
    </row>
    <row r="16">
      <c r="B16" s="52" t="n">
        <v>2</v>
      </c>
      <c r="C16" s="53" t="inlineStr">
        <is>
          <t xml:space="preserve">  S&amp;M % of Revenue</t>
        </is>
      </c>
      <c r="D16" s="54" t="inlineStr">
        <is>
          <t>Efficiency</t>
        </is>
      </c>
      <c r="E16" s="11" t="inlineStr"/>
      <c r="F16" s="54" t="inlineStr">
        <is>
          <t>Monthly</t>
        </is>
      </c>
      <c r="G16" s="26" t="n">
        <v>0.125</v>
      </c>
      <c r="H16" s="26" t="n">
        <v>0.123</v>
      </c>
      <c r="I16" s="28">
        <f>IFERROR(H16-G16,"-")</f>
        <v/>
      </c>
      <c r="J16" s="31">
        <f>IFERROR(I16/G16,"-")</f>
        <v/>
      </c>
      <c r="K16" s="55" t="inlineStr">
        <is>
          <t>On Track</t>
        </is>
      </c>
      <c r="L16" s="11" t="inlineStr">
        <is>
          <t>Q1'26A: ~12.1%</t>
        </is>
      </c>
    </row>
    <row r="17">
      <c r="B17" s="56" t="n">
        <v>2</v>
      </c>
      <c r="C17" s="17" t="inlineStr">
        <is>
          <t xml:space="preserve">  R&amp;D % of Revenue</t>
        </is>
      </c>
      <c r="D17" s="57" t="inlineStr">
        <is>
          <t>Efficiency</t>
        </is>
      </c>
      <c r="E17" s="9" t="inlineStr"/>
      <c r="F17" s="57" t="inlineStr">
        <is>
          <t>Monthly</t>
        </is>
      </c>
      <c r="G17" s="26" t="n">
        <v>0.113</v>
      </c>
      <c r="H17" s="26" t="n">
        <v>0.108</v>
      </c>
      <c r="I17" s="28">
        <f>IFERROR(H17-G17,"-")</f>
        <v/>
      </c>
      <c r="J17" s="31">
        <f>IFERROR(I17/G17,"-")</f>
        <v/>
      </c>
      <c r="K17" s="59" t="inlineStr">
        <is>
          <t>Watch</t>
        </is>
      </c>
      <c r="L17" s="9" t="inlineStr">
        <is>
          <t>AI/Sidekick investment increasing R&amp;D as % rev</t>
        </is>
      </c>
    </row>
    <row r="18">
      <c r="B18" s="52" t="n">
        <v>2</v>
      </c>
      <c r="C18" s="53" t="inlineStr">
        <is>
          <t xml:space="preserve">  OpEx Total % of Revenue</t>
        </is>
      </c>
      <c r="D18" s="54" t="inlineStr">
        <is>
          <t>Efficiency</t>
        </is>
      </c>
      <c r="E18" s="11" t="inlineStr"/>
      <c r="F18" s="54" t="inlineStr">
        <is>
          <t>Monthly</t>
        </is>
      </c>
      <c r="G18" s="26" t="n">
        <v>0.313</v>
      </c>
      <c r="H18" s="26" t="n">
        <v>0.324</v>
      </c>
      <c r="I18" s="28">
        <f>IFERROR(H18-G18,"-")</f>
        <v/>
      </c>
      <c r="J18" s="31">
        <f>IFERROR(I18/G18,"-")</f>
        <v/>
      </c>
      <c r="K18" s="55" t="inlineStr">
        <is>
          <t>On Track</t>
        </is>
      </c>
      <c r="L18" s="11" t="inlineStr">
        <is>
          <t>Q1'26 = 32%; targeting 31% FY2026E</t>
        </is>
      </c>
    </row>
    <row r="19">
      <c r="B19" s="38" t="n">
        <v>1</v>
      </c>
      <c r="C19" s="68" t="inlineStr">
        <is>
          <t>GMV Specific KPIs</t>
        </is>
      </c>
      <c r="D19" s="69" t="inlineStr">
        <is>
          <t>Growth</t>
        </is>
      </c>
      <c r="E19" s="70" t="inlineStr"/>
      <c r="F19" s="69" t="inlineStr">
        <is>
          <t>Quarterly</t>
        </is>
      </c>
      <c r="G19" s="47" t="n"/>
      <c r="H19" s="47" t="n"/>
      <c r="I19" s="28">
        <f>IFERROR(H19-G19,"-")</f>
        <v/>
      </c>
      <c r="J19" s="31">
        <f>IFERROR(I19/G19,"-")</f>
        <v/>
      </c>
      <c r="K19" s="34" t="inlineStr">
        <is>
          <t>N/A</t>
        </is>
      </c>
      <c r="L19" s="9" t="inlineStr"/>
    </row>
    <row r="20">
      <c r="B20" s="52" t="n">
        <v>2</v>
      </c>
      <c r="C20" s="53" t="inlineStr">
        <is>
          <t xml:space="preserve">  GPV Penetration % GMV</t>
        </is>
      </c>
      <c r="D20" s="54" t="inlineStr">
        <is>
          <t>Payments</t>
        </is>
      </c>
      <c r="E20" s="11" t="inlineStr"/>
      <c r="F20" s="54" t="inlineStr">
        <is>
          <t>Quarterly</t>
        </is>
      </c>
      <c r="G20" s="26" t="n">
        <v>0.68</v>
      </c>
      <c r="H20" s="26" t="n">
        <v>0.64</v>
      </c>
      <c r="I20" s="28">
        <f>IFERROR(H20-G20,"-")</f>
        <v/>
      </c>
      <c r="J20" s="31">
        <f>IFERROR(I20/G20,"-")</f>
        <v/>
      </c>
      <c r="K20" s="55" t="inlineStr">
        <is>
          <t>On Track</t>
        </is>
      </c>
      <c r="L20" s="11" t="inlineStr">
        <is>
          <t>Q1'26A: 67%; +200bps/yr trajectory</t>
        </is>
      </c>
    </row>
    <row r="21">
      <c r="B21" s="56" t="n">
        <v>2</v>
      </c>
      <c r="C21" s="17" t="inlineStr">
        <is>
          <t xml:space="preserve">  Payments Take Rate (GPV/Rev)</t>
        </is>
      </c>
      <c r="D21" s="57" t="inlineStr">
        <is>
          <t>Payments</t>
        </is>
      </c>
      <c r="E21" s="9" t="inlineStr"/>
      <c r="F21" s="57" t="inlineStr">
        <is>
          <t>Quarterly</t>
        </is>
      </c>
      <c r="G21" s="26" t="n">
        <v>0.024</v>
      </c>
      <c r="H21" s="26" t="n">
        <v>0.023</v>
      </c>
      <c r="I21" s="28">
        <f>IFERROR(H21-G21,"-")</f>
        <v/>
      </c>
      <c r="J21" s="31">
        <f>IFERROR(I21/G21,"-")</f>
        <v/>
      </c>
      <c r="K21" s="55" t="inlineStr">
        <is>
          <t>On Track</t>
        </is>
      </c>
      <c r="L21" s="9" t="inlineStr">
        <is>
          <t>Q1'26A: 2.40% (+7bps YoY)</t>
        </is>
      </c>
    </row>
    <row r="22">
      <c r="B22" s="52" t="n">
        <v>2</v>
      </c>
      <c r="C22" s="53" t="inlineStr">
        <is>
          <t xml:space="preserve">  B2B GMV Growth %</t>
        </is>
      </c>
      <c r="D22" s="54" t="inlineStr">
        <is>
          <t>Growth</t>
        </is>
      </c>
      <c r="E22" s="11" t="inlineStr"/>
      <c r="F22" s="54" t="inlineStr">
        <is>
          <t>Quarterly</t>
        </is>
      </c>
      <c r="G22" s="26" t="n">
        <v>0.6</v>
      </c>
      <c r="H22" s="26" t="n"/>
      <c r="I22" s="28">
        <f>IFERROR(H22-G22,"-")</f>
        <v/>
      </c>
      <c r="J22" s="31">
        <f>IFERROR(I22/G22,"-")</f>
        <v/>
      </c>
      <c r="K22" s="59" t="inlineStr">
        <is>
          <t>Watch</t>
        </is>
      </c>
      <c r="L22" s="11" t="inlineStr">
        <is>
          <t>Q1'26A: +80% YoY; early-stage, pre-scale</t>
        </is>
      </c>
    </row>
    <row r="23">
      <c r="B23" s="56" t="n">
        <v>2</v>
      </c>
      <c r="C23" s="17" t="inlineStr">
        <is>
          <t xml:space="preserve">  International GMV Growth %</t>
        </is>
      </c>
      <c r="D23" s="57" t="inlineStr">
        <is>
          <t>Growth</t>
        </is>
      </c>
      <c r="E23" s="9" t="inlineStr"/>
      <c r="F23" s="57" t="inlineStr">
        <is>
          <t>Quarterly</t>
        </is>
      </c>
      <c r="G23" s="26" t="n">
        <v>0.35</v>
      </c>
      <c r="H23" s="26" t="n"/>
      <c r="I23" s="28">
        <f>IFERROR(H23-G23,"-")</f>
        <v/>
      </c>
      <c r="J23" s="31">
        <f>IFERROR(I23/G23,"-")</f>
        <v/>
      </c>
      <c r="K23" s="55" t="inlineStr">
        <is>
          <t>On Track</t>
        </is>
      </c>
      <c r="L23" s="9" t="inlineStr">
        <is>
          <t>Q1'26A: +45% YoY; Europe +48%</t>
        </is>
      </c>
    </row>
    <row r="24">
      <c r="B24" s="38" t="n">
        <v>1</v>
      </c>
      <c r="C24" s="68" t="inlineStr">
        <is>
          <t>Free Cash Flow ($M)</t>
        </is>
      </c>
      <c r="D24" s="69" t="inlineStr">
        <is>
          <t>Cash</t>
        </is>
      </c>
      <c r="E24" s="70" t="inlineStr"/>
      <c r="F24" s="69" t="inlineStr">
        <is>
          <t>Monthly</t>
        </is>
      </c>
      <c r="G24" s="25" t="n">
        <v>2610</v>
      </c>
      <c r="H24" s="25" t="n">
        <v>2007</v>
      </c>
      <c r="I24" s="28">
        <f>IFERROR(H24-G24,"-")</f>
        <v/>
      </c>
      <c r="J24" s="31">
        <f>IFERROR(I24/G24,"-")</f>
        <v/>
      </c>
      <c r="K24" s="55" t="inlineStr">
        <is>
          <t>On Track</t>
        </is>
      </c>
      <c r="L24" s="11" t="inlineStr">
        <is>
          <t>Q1'26A: $476M (15%); full-yr cons $2.6B (17.5%)</t>
        </is>
      </c>
    </row>
    <row r="25">
      <c r="B25" s="56" t="n">
        <v>2</v>
      </c>
      <c r="C25" s="17" t="inlineStr">
        <is>
          <t xml:space="preserve">  FCF Margin</t>
        </is>
      </c>
      <c r="D25" s="57" t="inlineStr">
        <is>
          <t>Cash</t>
        </is>
      </c>
      <c r="E25" s="9" t="inlineStr"/>
      <c r="F25" s="57" t="inlineStr">
        <is>
          <t>Monthly</t>
        </is>
      </c>
      <c r="G25" s="26" t="n">
        <v>0.175</v>
      </c>
      <c r="H25" s="26" t="n">
        <v>0.174</v>
      </c>
      <c r="I25" s="28">
        <f>IFERROR(H25-G25,"-")</f>
        <v/>
      </c>
      <c r="J25" s="31">
        <f>IFERROR(I25/G25,"-")</f>
        <v/>
      </c>
      <c r="K25" s="55" t="inlineStr">
        <is>
          <t>On Track</t>
        </is>
      </c>
      <c r="L25" s="9" t="inlineStr">
        <is>
          <t>Q2'26 guide: mid-teens (MCA reclass headwind)</t>
        </is>
      </c>
    </row>
    <row r="26">
      <c r="B26" s="52" t="n">
        <v>2</v>
      </c>
      <c r="C26" s="53" t="inlineStr">
        <is>
          <t xml:space="preserve">  Capex % Revenue</t>
        </is>
      </c>
      <c r="D26" s="54" t="inlineStr">
        <is>
          <t>Cash</t>
        </is>
      </c>
      <c r="E26" s="11" t="inlineStr"/>
      <c r="F26" s="54" t="inlineStr">
        <is>
          <t>Monthly</t>
        </is>
      </c>
      <c r="G26" s="26" t="n">
        <v>0.017</v>
      </c>
      <c r="H26" s="26" t="n">
        <v>0.017</v>
      </c>
      <c r="I26" s="28">
        <f>IFERROR(H26-G26,"-")</f>
        <v/>
      </c>
      <c r="J26" s="31">
        <f>IFERROR(I26/G26,"-")</f>
        <v/>
      </c>
      <c r="K26" s="55" t="inlineStr">
        <is>
          <t>On Track</t>
        </is>
      </c>
      <c r="L26" s="11" t="inlineStr">
        <is>
          <t>Lean capex model maintained</t>
        </is>
      </c>
    </row>
  </sheetData>
  <mergeCells count="2">
    <mergeCell ref="B4:K4"/>
    <mergeCell ref="B2:K2"/>
  </mergeCells>
  <dataValidations count="20">
    <dataValidation sqref="K7" showDropDown="0" showInputMessage="0" showErrorMessage="0" allowBlank="0" type="list">
      <formula1>"On Track,Watch,Behind Plan,N/A"</formula1>
    </dataValidation>
    <dataValidation sqref="K8" showDropDown="0" showInputMessage="0" showErrorMessage="0" allowBlank="0" type="list">
      <formula1>"On Track,Watch,Behind Plan,N/A"</formula1>
    </dataValidation>
    <dataValidation sqref="K9" showDropDown="0" showInputMessage="0" showErrorMessage="0" allowBlank="0" type="list">
      <formula1>"On Track,Watch,Behind Plan,N/A"</formula1>
    </dataValidation>
    <dataValidation sqref="K10" showDropDown="0" showInputMessage="0" showErrorMessage="0" allowBlank="0" type="list">
      <formula1>"On Track,Watch,Behind Plan,N/A"</formula1>
    </dataValidation>
    <dataValidation sqref="K11" showDropDown="0" showInputMessage="0" showErrorMessage="0" allowBlank="0" type="list">
      <formula1>"On Track,Watch,Behind Plan,N/A"</formula1>
    </dataValidation>
    <dataValidation sqref="K12" showDropDown="0" showInputMessage="0" showErrorMessage="0" allowBlank="0" type="list">
      <formula1>"On Track,Watch,Behind Plan,N/A"</formula1>
    </dataValidation>
    <dataValidation sqref="K13" showDropDown="0" showInputMessage="0" showErrorMessage="0" allowBlank="0" type="list">
      <formula1>"On Track,Watch,Behind Plan,N/A"</formula1>
    </dataValidation>
    <dataValidation sqref="K14" showDropDown="0" showInputMessage="0" showErrorMessage="0" allowBlank="0" type="list">
      <formula1>"On Track,Watch,Behind Plan,N/A"</formula1>
    </dataValidation>
    <dataValidation sqref="K15" showDropDown="0" showInputMessage="0" showErrorMessage="0" allowBlank="0" type="list">
      <formula1>"On Track,Watch,Behind Plan,N/A"</formula1>
    </dataValidation>
    <dataValidation sqref="K16" showDropDown="0" showInputMessage="0" showErrorMessage="0" allowBlank="0" type="list">
      <formula1>"On Track,Watch,Behind Plan,N/A"</formula1>
    </dataValidation>
    <dataValidation sqref="K17" showDropDown="0" showInputMessage="0" showErrorMessage="0" allowBlank="0" type="list">
      <formula1>"On Track,Watch,Behind Plan,N/A"</formula1>
    </dataValidation>
    <dataValidation sqref="K18" showDropDown="0" showInputMessage="0" showErrorMessage="0" allowBlank="0" type="list">
      <formula1>"On Track,Watch,Behind Plan,N/A"</formula1>
    </dataValidation>
    <dataValidation sqref="K19" showDropDown="0" showInputMessage="0" showErrorMessage="0" allowBlank="0" type="list">
      <formula1>"On Track,Watch,Behind Plan,N/A"</formula1>
    </dataValidation>
    <dataValidation sqref="K20" showDropDown="0" showInputMessage="0" showErrorMessage="0" allowBlank="0" type="list">
      <formula1>"On Track,Watch,Behind Plan,N/A"</formula1>
    </dataValidation>
    <dataValidation sqref="K21" showDropDown="0" showInputMessage="0" showErrorMessage="0" allowBlank="0" type="list">
      <formula1>"On Track,Watch,Behind Plan,N/A"</formula1>
    </dataValidation>
    <dataValidation sqref="K22" showDropDown="0" showInputMessage="0" showErrorMessage="0" allowBlank="0" type="list">
      <formula1>"On Track,Watch,Behind Plan,N/A"</formula1>
    </dataValidation>
    <dataValidation sqref="K23" showDropDown="0" showInputMessage="0" showErrorMessage="0" allowBlank="0" type="list">
      <formula1>"On Track,Watch,Behind Plan,N/A"</formula1>
    </dataValidation>
    <dataValidation sqref="K24" showDropDown="0" showInputMessage="0" showErrorMessage="0" allowBlank="0" type="list">
      <formula1>"On Track,Watch,Behind Plan,N/A"</formula1>
    </dataValidation>
    <dataValidation sqref="K25" showDropDown="0" showInputMessage="0" showErrorMessage="0" allowBlank="0" type="list">
      <formula1>"On Track,Watch,Behind Plan,N/A"</formula1>
    </dataValidation>
    <dataValidation sqref="K26" showDropDown="0" showInputMessage="0" showErrorMessage="0" allowBlank="0" type="list">
      <formula1>"On Track,Watch,Behind Plan,N/A"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  <col width="18" customWidth="1" min="4" max="4"/>
    <col width="18" customWidth="1" min="5" max="5"/>
    <col width="3" customWidth="1" min="6" max="6"/>
  </cols>
  <sheetData>
    <row r="2">
      <c r="B2" s="1" t="inlineStr">
        <is>
          <t>MOIC Bridge — Shopify Entry to Exit (FY2028E Base)</t>
        </is>
      </c>
      <c r="C2" s="2" t="n"/>
      <c r="D2" s="3" t="n"/>
    </row>
    <row r="4">
      <c r="B4" s="32" t="inlineStr">
        <is>
          <t>Equity value waterfall from entry ($108/share) to exit (FY2028E base). NTB contributions pull from NTB Registry (incremental EV if NTB confirmed). Note: Shopify is a public equity long; MOIC reflects total return, not PE carry.</t>
        </is>
      </c>
    </row>
    <row r="6">
      <c r="B6" s="7" t="inlineStr">
        <is>
          <t>Component</t>
        </is>
      </c>
      <c r="C6" s="7" t="inlineStr">
        <is>
          <t>Equity Value ($M)</t>
        </is>
      </c>
      <c r="D6" s="7" t="inlineStr">
        <is>
          <t>MOIC Contribution</t>
        </is>
      </c>
      <c r="E6" s="7" t="inlineStr">
        <is>
          <t>Cumulative MOIC</t>
        </is>
      </c>
    </row>
    <row r="7">
      <c r="B7" s="36" t="inlineStr">
        <is>
          <t>Entry Equity Invested  ($108/share × 1,307M)</t>
        </is>
      </c>
      <c r="C7" s="71">
        <f>INPUTS!C21</f>
        <v/>
      </c>
      <c r="D7" s="62" t="n">
        <v>1</v>
      </c>
      <c r="E7" s="62">
        <f>IFERROR(INPUTS!C21/INPUTS!C21,"-")</f>
        <v/>
      </c>
    </row>
    <row r="8">
      <c r="B8" s="53" t="inlineStr">
        <is>
          <t>NTB-1: GMV Sustains 25%+ Through FY2027</t>
        </is>
      </c>
      <c r="C8" s="72">
        <f>IFERROR('NTB REGISTRY'!F8,"-")</f>
        <v/>
      </c>
      <c r="D8" s="73">
        <f>IFERROR('NTB REGISTRY'!G8,"-")</f>
        <v/>
      </c>
      <c r="E8" s="29">
        <f>IFERROR(E7+D8,"-")</f>
        <v/>
      </c>
    </row>
    <row r="9">
      <c r="B9" s="17" t="inlineStr">
        <is>
          <t>NTB-2: Payments GPV Penetration to 70%+</t>
        </is>
      </c>
      <c r="C9" s="72">
        <f>IFERROR('NTB REGISTRY'!F9,"-")</f>
        <v/>
      </c>
      <c r="D9" s="73">
        <f>IFERROR('NTB REGISTRY'!G9,"-")</f>
        <v/>
      </c>
      <c r="E9" s="29">
        <f>IFERROR(E8+D9,"-")</f>
        <v/>
      </c>
    </row>
    <row r="10">
      <c r="B10" s="53" t="inlineStr">
        <is>
          <t>NTB-3: AI Commerce Net Revenue-Positive</t>
        </is>
      </c>
      <c r="C10" s="72">
        <f>IFERROR('NTB REGISTRY'!F10,"-")</f>
        <v/>
      </c>
      <c r="D10" s="73">
        <f>IFERROR('NTB REGISTRY'!G10,"-")</f>
        <v/>
      </c>
      <c r="E10" s="29">
        <f>IFERROR(E9+D10,"-")</f>
        <v/>
      </c>
    </row>
    <row r="11">
      <c r="B11" s="17" t="inlineStr">
        <is>
          <t>NTB-4: Enterprise Plus Margin Durable</t>
        </is>
      </c>
      <c r="C11" s="72">
        <f>IFERROR('NTB REGISTRY'!F11,"-")</f>
        <v/>
      </c>
      <c r="D11" s="73">
        <f>IFERROR('NTB REGISTRY'!G11,"-")</f>
        <v/>
      </c>
      <c r="E11" s="29">
        <f>IFERROR(E10+D11,"-")</f>
        <v/>
      </c>
    </row>
    <row r="12">
      <c r="B12" s="53" t="inlineStr">
        <is>
          <t>NTB-5: FCF Margin Expands to 20%+</t>
        </is>
      </c>
      <c r="C12" s="72">
        <f>IFERROR('NTB REGISTRY'!F12,"-")</f>
        <v/>
      </c>
      <c r="D12" s="73">
        <f>IFERROR('NTB REGISTRY'!G12,"-")</f>
        <v/>
      </c>
      <c r="E12" s="29">
        <f>IFERROR(E11+D12,"-")</f>
        <v/>
      </c>
    </row>
    <row r="13">
      <c r="B13" s="17" t="inlineStr">
        <is>
          <t>NTB-6: Macro Does Not Materially Deteriorate</t>
        </is>
      </c>
      <c r="C13" s="72">
        <f>IFERROR('NTB REGISTRY'!F13,"-")</f>
        <v/>
      </c>
      <c r="D13" s="73">
        <f>IFERROR('NTB REGISTRY'!G13,"-")</f>
        <v/>
      </c>
      <c r="E13" s="29">
        <f>IFERROR(E12+D13,"-")</f>
        <v/>
      </c>
    </row>
    <row r="14">
      <c r="B14" s="53" t="inlineStr">
        <is>
          <t>Multiple Re-rating / Compression (net)</t>
        </is>
      </c>
      <c r="C14" s="25" t="n"/>
      <c r="D14" s="27" t="n"/>
      <c r="E14" s="29">
        <f>IFERROR(E13+D14,"-")</f>
        <v/>
      </c>
    </row>
    <row r="16">
      <c r="B16" s="36" t="inlineStr">
        <is>
          <t>Exit Proceeds to Equity  (FY2028E Base: 45x × $4.49B EBITDA + $8.5B net cash)</t>
        </is>
      </c>
      <c r="C16" s="71">
        <f>INPUTS!C30</f>
        <v/>
      </c>
      <c r="D16" s="62">
        <f>IFERROR(INPUTS!C30/INPUTS!C21,"-")</f>
        <v/>
      </c>
      <c r="E16" s="62">
        <f>IFERROR(INPUTS!C30/INPUTS!C21,"-")</f>
        <v/>
      </c>
    </row>
  </sheetData>
  <mergeCells count="3">
    <mergeCell ref="B16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2026-05-06T22:42:56Z</dcterms:created>
  <dcterms:modified xmlns:dcterms="http://purl.org/dc/terms/" xmlns:xsi="http://www.w3.org/2001/XMLSchema-instance" xsi:type="dcterms:W3CDTF">2026-05-06T22:42:56Z</dcterms:modified>
</cp:coreProperties>
</file>